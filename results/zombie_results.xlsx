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Summary" sheetId="2" state="visible" r:id="rId4"/>
    <sheet name="2_PerTask" sheetId="3" state="visible" r:id="rId5"/>
    <sheet name="3_Curves" sheetId="4" state="visible" r:id="rId6"/>
    <sheet name="4_Frontier" sheetId="5" state="visible" r:id="rId7"/>
    <sheet name="5_Pairs" sheetId="6" state="visible" r:id="rId8"/>
    <sheet name="6_Earlier_ru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<sst xmlns="http://schemas.openxmlformats.org/spreadsheetml/2006/main" count="371" uniqueCount="125">
  <si>
    <t xml:space="preserve">Zombie-Brain: reasoning-suite results</t>
  </si>
  <si>
    <t xml:space="preserve">All numbers are copied from the aggregate logs of the runs (blue = data from logs, black = formulas). Test split, instance-exact accuracy, mean ± std over 3 seeds (0,1,2).</t>
  </si>
  <si>
    <t xml:space="preserve">Sheets</t>
  </si>
  <si>
    <t xml:space="preserve">1_Summary        params, speed, REASON score of the final protocol (paper run), with formulas for gap vs MoE</t>
  </si>
  <si>
    <t xml:space="preserve">2_PerTask        accuracy per task, ID (trained difficulties) and OOD (harder, unseen), final protocol</t>
  </si>
  <si>
    <t xml:space="preserve">3_Curves         accuracy per task and difficulty; OOD difficulties shaded; trivial = best cheat baseline</t>
  </si>
  <si>
    <t xml:space="preserve">4_Frontier       hardest difficulty solved at &gt;=0.9 / &gt;=0.5 (median over seeds) + learning speed</t>
  </si>
  <si>
    <t xml:space="preserve">5_Pairs          paired comparisons (verdict rule below)</t>
  </si>
  <si>
    <t xml:space="preserve">6_Earlier_runs   earlier protocol (lower mixed training signal): b29, L20, L24, MoE. NOT comparable to the final protocol</t>
  </si>
  <si>
    <t xml:space="preserve">Final protocol (paper run): 6000 steps, batch 32 x seq 256, lr 1e-3 for every model, no facts task, mix mqar .4 / hop .2 / add .2 / state .1 / induct .1, curriculum 1500 steps, ReDo for attention on L24xc (never triggered: 0 dormant heads).</t>
  </si>
  <si>
    <t xml:space="preserve">Verdict rule: &gt;=3 seeds, |gap| &gt; 2x pooled std, same sign in every seed; 'n/a' if no model learned the task; 'both at ceiling' if all &gt;= 0.98.</t>
  </si>
  <si>
    <t xml:space="preserve">Caveats (read before quoting any number)</t>
  </si>
  <si>
    <t xml:space="preserve">1. All gaps vs MoE are 'indistinguishable' under the rule. mqar is bimodal per seed (a model either breaks through to ~1.0 or not); which seed breaks through is random for every model.</t>
  </si>
  <si>
    <t xml:space="preserve">2. Hop was not learned beyond difficulty 1, and at difficulty 1 the trivial cheat baseline already scores 1.000, so it is not evidence of reasoning. n &lt; 30 cells (add d=1, state d=2/4) are excluded from every summary number.</t>
  </si>
  <si>
    <t xml:space="preserve">3. OOD addition (8 and 10 digits) is 0.000 for every model: none generalizes to longer numbers.</t>
  </si>
  <si>
    <t xml:space="preserve">4. The earlier-run sheet used a different training mix/lrs (b29 at lr 3e-3); do not compare it with the final protocol.</t>
  </si>
  <si>
    <t xml:space="preserve">5. Params are ~22.8-22.9M for all models (matched total). Speed is tokens/s on a T4 (2 jobs in parallel), indicative only.</t>
  </si>
  <si>
    <t xml:space="preserve">Summary: final protocol (paper run)</t>
  </si>
  <si>
    <t xml:space="preserve">Blue = from logs. Black = formulas. Relative columns are vs MoE.</t>
  </si>
  <si>
    <t xml:space="preserve">Model</t>
  </si>
  <si>
    <t xml:space="preserve">Params (M)</t>
  </si>
  <si>
    <t xml:space="preserve">lr</t>
  </si>
  <si>
    <t xml:space="preserve">Steps</t>
  </si>
  <si>
    <t xml:space="preserve">Speed (k tok/s)</t>
  </si>
  <si>
    <t xml:space="preserve">REASON ID</t>
  </si>
  <si>
    <t xml:space="preserve">REASON ID std</t>
  </si>
  <si>
    <t xml:space="preserve">REASON OOD</t>
  </si>
  <si>
    <t xml:space="preserve">REASON OOD std</t>
  </si>
  <si>
    <t xml:space="preserve">Speed vs MoE (x)</t>
  </si>
  <si>
    <t xml:space="preserve">REASON ID gap vs MoE</t>
  </si>
  <si>
    <t xml:space="preserve">REASON OOD gap vs MoE</t>
  </si>
  <si>
    <t xml:space="preserve">Cost vs MoE (1/speed)</t>
  </si>
  <si>
    <t xml:space="preserve">moe</t>
  </si>
  <si>
    <t xml:space="preserve">zombie_memonly_L24</t>
  </si>
  <si>
    <t xml:space="preserve">zombie_memonly_L24xc</t>
  </si>
  <si>
    <t xml:space="preserve">Reading: no gap is significant (see 5_Pairs). L24xc is the most expensive per token (last column) and does not win by the verdict rule.</t>
  </si>
  <si>
    <t xml:space="preserve">Per-task accuracy (test), final protocol</t>
  </si>
  <si>
    <t xml:space="preserve">mean ± std over 3 seeds. Gap columns are formulas (model minus MoE).</t>
  </si>
  <si>
    <t xml:space="preserve">Task</t>
  </si>
  <si>
    <t xml:space="preserve">Split</t>
  </si>
  <si>
    <t xml:space="preserve">MoE mean</t>
  </si>
  <si>
    <t xml:space="preserve">MoE std</t>
  </si>
  <si>
    <t xml:space="preserve">L24 mean</t>
  </si>
  <si>
    <t xml:space="preserve">L24 std</t>
  </si>
  <si>
    <t xml:space="preserve">L24xc mean</t>
  </si>
  <si>
    <t xml:space="preserve">L24xc std</t>
  </si>
  <si>
    <t xml:space="preserve">L24 - MoE</t>
  </si>
  <si>
    <t xml:space="preserve">L24xc - MoE</t>
  </si>
  <si>
    <t xml:space="preserve">Learned by any model?</t>
  </si>
  <si>
    <t xml:space="preserve">mqar</t>
  </si>
  <si>
    <t xml:space="preserve">ID</t>
  </si>
  <si>
    <t xml:space="preserve">yes</t>
  </si>
  <si>
    <t xml:space="preserve">OOD</t>
  </si>
  <si>
    <t xml:space="preserve">hop</t>
  </si>
  <si>
    <t xml:space="preserve">no (only d=1, trivial=1.0)</t>
  </si>
  <si>
    <t xml:space="preserve">no</t>
  </si>
  <si>
    <t xml:space="preserve">add</t>
  </si>
  <si>
    <t xml:space="preserve">yes (ceiling)</t>
  </si>
  <si>
    <t xml:space="preserve">no (0 for all)</t>
  </si>
  <si>
    <t xml:space="preserve">state</t>
  </si>
  <si>
    <t xml:space="preserve">barely (1 L24 seed)</t>
  </si>
  <si>
    <t xml:space="preserve">REASON</t>
  </si>
  <si>
    <t xml:space="preserve">mean of 4 tasks</t>
  </si>
  <si>
    <t xml:space="preserve">Accuracy by task and difficulty (test), final protocol</t>
  </si>
  <si>
    <t xml:space="preserve">OOD = harder than anything trained on (shaded). n = test instances; cells with n &lt; 30 are excluded from summaries. Format: mean, std.</t>
  </si>
  <si>
    <t xml:space="preserve">Difficulty</t>
  </si>
  <si>
    <t xml:space="preserve">OOD?</t>
  </si>
  <si>
    <t xml:space="preserve">n</t>
  </si>
  <si>
    <t xml:space="preserve">Trivial baseline</t>
  </si>
  <si>
    <t xml:space="preserve">Best model (only if gap &gt; largest std)</t>
  </si>
  <si>
    <t xml:space="preserve">Frontier and learning speed, final protocol</t>
  </si>
  <si>
    <t xml:space="preserve">Frontier = hardest difficulty solved with accuracy &gt;= 0.9 / &gt;= 0.5 walking up from the easiest (median over 3 seeds). 'none' = not solved even at the easiest.</t>
  </si>
  <si>
    <t xml:space="preserve">MoE (0.9)</t>
  </si>
  <si>
    <t xml:space="preserve">MoE (0.5)</t>
  </si>
  <si>
    <t xml:space="preserve">L24 (0.9)</t>
  </si>
  <si>
    <t xml:space="preserve">L24 (0.5)</t>
  </si>
  <si>
    <t xml:space="preserve">L24xc (0.9)</t>
  </si>
  <si>
    <t xml:space="preserve">L24xc (0.5)</t>
  </si>
  <si>
    <t xml:space="preserve">Note</t>
  </si>
  <si>
    <t xml:space="preserve">32</t>
  </si>
  <si>
    <t xml:space="preserve">48</t>
  </si>
  <si>
    <t xml:space="preserve">24</t>
  </si>
  <si>
    <t xml:space="preserve">MoE has the best mqar frontier</t>
  </si>
  <si>
    <t xml:space="preserve">0</t>
  </si>
  <si>
    <t xml:space="preserve">1</t>
  </si>
  <si>
    <t xml:space="preserve">Only difficulty 1; trivial baseline scores 1.000 there, so not meaningful</t>
  </si>
  <si>
    <t xml:space="preserve">6</t>
  </si>
  <si>
    <t xml:space="preserve">All equal (ceiling)</t>
  </si>
  <si>
    <t xml:space="preserve">none</t>
  </si>
  <si>
    <t xml:space="preserve">Barely learned by any model</t>
  </si>
  <si>
    <t xml:space="preserve">Learning speed: first checkpoint (every 500 steps, 100 val instances) with accuracy &gt;= 0.9 on add d=3 (lower = faster)</t>
  </si>
  <si>
    <t xml:space="preserve">Seed 0</t>
  </si>
  <si>
    <t xml:space="preserve">Seed 1</t>
  </si>
  <si>
    <t xml:space="preserve">Seed 2</t>
  </si>
  <si>
    <t xml:space="preserve">Mean step</t>
  </si>
  <si>
    <t xml:space="preserve">Std</t>
  </si>
  <si>
    <t xml:space="preserve">Paired comparisons (A minus B, positive = A better), final protocol</t>
  </si>
  <si>
    <t xml:space="preserve">Verdict rule: &gt;=3 seeds, |gap| &gt; 2x pooled std, same sign in every seed. Per-seed gaps as logged; column 'Sign consistent?' is a formula.</t>
  </si>
  <si>
    <t xml:space="preserve">A</t>
  </si>
  <si>
    <t xml:space="preserve">B</t>
  </si>
  <si>
    <t xml:space="preserve">A mean</t>
  </si>
  <si>
    <t xml:space="preserve">A std</t>
  </si>
  <si>
    <t xml:space="preserve">B mean</t>
  </si>
  <si>
    <t xml:space="preserve">B std</t>
  </si>
  <si>
    <t xml:space="preserve">Gap (A-B)</t>
  </si>
  <si>
    <t xml:space="preserve">Sign consistent?</t>
  </si>
  <si>
    <t xml:space="preserve">2x pooled std</t>
  </si>
  <si>
    <t xml:space="preserve">Rule says</t>
  </si>
  <si>
    <t xml:space="preserve">Verdict (as logged)</t>
  </si>
  <si>
    <t xml:space="preserve">L24xc</t>
  </si>
  <si>
    <t xml:space="preserve">MoE</t>
  </si>
  <si>
    <t xml:space="preserve">indistinguishable</t>
  </si>
  <si>
    <t xml:space="preserve">n/a (not learned)</t>
  </si>
  <si>
    <t xml:space="preserve">both at ceiling</t>
  </si>
  <si>
    <t xml:space="preserve">L24</t>
  </si>
  <si>
    <t xml:space="preserve">'Rule says' is recomputed here from the means/stds; for tasks no model learned or both at ceiling the logged verdict (n/a / ceiling) takes precedence. Pooled std here = sqrt((sA^2+sB^2)/2).</t>
  </si>
  <si>
    <t xml:space="preserve">Earlier protocol results (NOT comparable to the final protocol)</t>
  </si>
  <si>
    <t xml:space="preserve">Earlier training mix, 6000 steps. b29 used lr 3e-3 (its tuned value), MoE and L20/L24 lr 1e-3. Kept for the paper's history/ablation, not for ranking.</t>
  </si>
  <si>
    <t xml:space="preserve">b29 mean</t>
  </si>
  <si>
    <t xml:space="preserve">b29 std</t>
  </si>
  <si>
    <t xml:space="preserve">L20 mean</t>
  </si>
  <si>
    <t xml:space="preserve">L20 std</t>
  </si>
  <si>
    <t xml:space="preserve">zombie_memonly_b29</t>
  </si>
  <si>
    <t xml:space="preserve">zombie_memonly_L20</t>
  </si>
  <si>
    <t xml:space="preserve">Paired comparisons vs MoE in this protocol (REASON ID gap, as logged): b29 -0.119 (indistinguishable, seeds +0.227/-0.335/-0.249); L20 +0.022 (indistinguishable, seeds -0.004/+0.005/+0.067). b29 fails addition in 2 of 3 seeds. Hop not learned by any model.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</si>
</sst>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E+00"/>
    <numFmt numFmtId="167" formatCode="0"/>
    <numFmt numFmtId="168" formatCode="0.0"/>
    <numFmt numFmtId="169" formatCode="0.000"/>
    <numFmt numFmtId="170" formatCode="\+0.000;\-0.000;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4" customFormat="false" ht="23.85" hidden="false" customHeight="fals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</row>
    <row r="5" customFormat="false" ht="15" hidden="false" customHeight="false" outlineLevel="0" collapsed="false">
      <c r="A5" s="6" t="s">
        <v>32</v>
      </c>
      <c r="B5" s="7" t="n">
        <v>22.82</v>
      </c>
      <c r="C5" s="8" t="n">
        <v>0.001</v>
      </c>
      <c r="D5" s="9" t="n">
        <v>6000</v>
      </c>
      <c r="E5" s="10" t="n">
        <v>27.3</v>
      </c>
      <c r="F5" s="11" t="n">
        <v>0.529</v>
      </c>
      <c r="G5" s="11" t="n">
        <v>0.128</v>
      </c>
      <c r="H5" s="11" t="n">
        <v>0.182</v>
      </c>
      <c r="I5" s="11" t="n">
        <v>0.085</v>
      </c>
      <c r="J5" s="12" t="n">
        <f aca="false">E5/$E$5</f>
        <v>1</v>
      </c>
      <c r="K5" s="13" t="n">
        <f aca="false">F5-$F$5</f>
        <v>0</v>
      </c>
      <c r="L5" s="13" t="n">
        <f aca="false">H5-$H$5</f>
        <v>0</v>
      </c>
      <c r="M5" s="12" t="n">
        <f aca="false">$E$5/E5</f>
        <v>1</v>
      </c>
    </row>
    <row r="6" customFormat="false" ht="15" hidden="false" customHeight="false" outlineLevel="0" collapsed="false">
      <c r="A6" s="6" t="s">
        <v>33</v>
      </c>
      <c r="B6" s="7" t="n">
        <v>22.87</v>
      </c>
      <c r="C6" s="8" t="n">
        <v>0.001</v>
      </c>
      <c r="D6" s="9" t="n">
        <v>6000</v>
      </c>
      <c r="E6" s="10" t="n">
        <v>18.2</v>
      </c>
      <c r="F6" s="11" t="n">
        <v>0.545</v>
      </c>
      <c r="G6" s="11" t="n">
        <v>0.106</v>
      </c>
      <c r="H6" s="11" t="n">
        <v>0.152</v>
      </c>
      <c r="I6" s="11" t="n">
        <v>0.065</v>
      </c>
      <c r="J6" s="12" t="n">
        <f aca="false">E6/$E$5</f>
        <v>0.666666666666667</v>
      </c>
      <c r="K6" s="13" t="n">
        <f aca="false">F6-$F$5</f>
        <v>0.016</v>
      </c>
      <c r="L6" s="13" t="n">
        <f aca="false">H6-$H$5</f>
        <v>-0.03</v>
      </c>
      <c r="M6" s="12" t="n">
        <f aca="false">$E$5/E6</f>
        <v>1.5</v>
      </c>
    </row>
    <row r="7" customFormat="false" ht="15" hidden="false" customHeight="false" outlineLevel="0" collapsed="false">
      <c r="A7" s="6" t="s">
        <v>34</v>
      </c>
      <c r="B7" s="7" t="n">
        <v>22.87</v>
      </c>
      <c r="C7" s="8" t="n">
        <v>0.001</v>
      </c>
      <c r="D7" s="9" t="n">
        <v>6000</v>
      </c>
      <c r="E7" s="10" t="n">
        <v>11.6</v>
      </c>
      <c r="F7" s="11" t="n">
        <v>0.569</v>
      </c>
      <c r="G7" s="11" t="n">
        <v>0.075</v>
      </c>
      <c r="H7" s="11" t="n">
        <v>0.172</v>
      </c>
      <c r="I7" s="11" t="n">
        <v>0.067</v>
      </c>
      <c r="J7" s="12" t="n">
        <f aca="false">E7/$E$5</f>
        <v>0.424908424908425</v>
      </c>
      <c r="K7" s="13" t="n">
        <f aca="false">F7-$F$5</f>
        <v>0.0399999999999999</v>
      </c>
      <c r="L7" s="13" t="n">
        <f aca="false">H7-$H$5</f>
        <v>-0.01</v>
      </c>
      <c r="M7" s="12" t="n">
        <f aca="false">$E$5/E7</f>
        <v>2.35344827586207</v>
      </c>
    </row>
    <row r="9" customFormat="false" ht="15" hidden="false" customHeight="false" outlineLevel="0" collapsed="false">
      <c r="A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4" t="s">
        <v>37</v>
      </c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</row>
    <row r="5" customFormat="false" ht="15" hidden="false" customHeight="false" outlineLevel="0" collapsed="false">
      <c r="A5" s="6" t="s">
        <v>49</v>
      </c>
      <c r="B5" s="14" t="s">
        <v>50</v>
      </c>
      <c r="C5" s="11" t="n">
        <v>0.745</v>
      </c>
      <c r="D5" s="11" t="n">
        <v>0.442</v>
      </c>
      <c r="E5" s="11" t="n">
        <v>0.734</v>
      </c>
      <c r="F5" s="11" t="n">
        <v>0.454</v>
      </c>
      <c r="G5" s="11" t="n">
        <v>0.877</v>
      </c>
      <c r="H5" s="11" t="n">
        <v>0.213</v>
      </c>
      <c r="I5" s="13" t="n">
        <f aca="false">E5-C5</f>
        <v>-0.011</v>
      </c>
      <c r="J5" s="13" t="n">
        <f aca="false">G5-C5</f>
        <v>0.132</v>
      </c>
      <c r="K5" s="14" t="s">
        <v>51</v>
      </c>
    </row>
    <row r="6" customFormat="false" ht="15" hidden="false" customHeight="false" outlineLevel="0" collapsed="false">
      <c r="A6" s="6" t="s">
        <v>49</v>
      </c>
      <c r="B6" s="15" t="s">
        <v>52</v>
      </c>
      <c r="C6" s="11" t="n">
        <v>0.435</v>
      </c>
      <c r="D6" s="11" t="n">
        <v>0.341</v>
      </c>
      <c r="E6" s="11" t="n">
        <v>0.317</v>
      </c>
      <c r="F6" s="11" t="n">
        <v>0.254</v>
      </c>
      <c r="G6" s="11" t="n">
        <v>0.398</v>
      </c>
      <c r="H6" s="11" t="n">
        <v>0.264</v>
      </c>
      <c r="I6" s="13" t="n">
        <f aca="false">E6-C6</f>
        <v>-0.118</v>
      </c>
      <c r="J6" s="13" t="n">
        <f aca="false">G6-C6</f>
        <v>-0.037</v>
      </c>
      <c r="K6" s="14" t="s">
        <v>51</v>
      </c>
    </row>
    <row r="7" customFormat="false" ht="15" hidden="false" customHeight="false" outlineLevel="0" collapsed="false">
      <c r="A7" s="6" t="s">
        <v>53</v>
      </c>
      <c r="B7" s="14" t="s">
        <v>50</v>
      </c>
      <c r="C7" s="11" t="n">
        <v>0.169</v>
      </c>
      <c r="D7" s="11" t="n">
        <v>0.077</v>
      </c>
      <c r="E7" s="11" t="n">
        <v>0.184</v>
      </c>
      <c r="F7" s="11" t="n">
        <v>0.08</v>
      </c>
      <c r="G7" s="11" t="n">
        <v>0.199</v>
      </c>
      <c r="H7" s="11" t="n">
        <v>0.084</v>
      </c>
      <c r="I7" s="13" t="n">
        <f aca="false">E7-C7</f>
        <v>0.015</v>
      </c>
      <c r="J7" s="13" t="n">
        <f aca="false">G7-C7</f>
        <v>0.03</v>
      </c>
      <c r="K7" s="14" t="s">
        <v>54</v>
      </c>
    </row>
    <row r="8" customFormat="false" ht="15" hidden="false" customHeight="false" outlineLevel="0" collapsed="false">
      <c r="A8" s="6" t="s">
        <v>53</v>
      </c>
      <c r="B8" s="15" t="s">
        <v>52</v>
      </c>
      <c r="C8" s="11" t="n">
        <v>0.09</v>
      </c>
      <c r="D8" s="11" t="n">
        <v>0.005</v>
      </c>
      <c r="E8" s="11" t="n">
        <v>0.094</v>
      </c>
      <c r="F8" s="11" t="n">
        <v>0.012</v>
      </c>
      <c r="G8" s="11" t="n">
        <v>0.097</v>
      </c>
      <c r="H8" s="11" t="n">
        <v>0.016</v>
      </c>
      <c r="I8" s="13" t="n">
        <f aca="false">E8-C8</f>
        <v>0.004</v>
      </c>
      <c r="J8" s="13" t="n">
        <f aca="false">G8-C8</f>
        <v>0.00700000000000001</v>
      </c>
      <c r="K8" s="14" t="s">
        <v>55</v>
      </c>
    </row>
    <row r="9" customFormat="false" ht="15" hidden="false" customHeight="false" outlineLevel="0" collapsed="false">
      <c r="A9" s="6" t="s">
        <v>56</v>
      </c>
      <c r="B9" s="14" t="s">
        <v>50</v>
      </c>
      <c r="C9" s="11" t="n">
        <v>1</v>
      </c>
      <c r="D9" s="11" t="n">
        <v>0</v>
      </c>
      <c r="E9" s="11" t="n">
        <v>1</v>
      </c>
      <c r="F9" s="11" t="n">
        <v>0</v>
      </c>
      <c r="G9" s="11" t="n">
        <v>0.999</v>
      </c>
      <c r="H9" s="11" t="n">
        <v>0.001</v>
      </c>
      <c r="I9" s="13" t="n">
        <f aca="false">E9-C9</f>
        <v>0</v>
      </c>
      <c r="J9" s="13" t="n">
        <f aca="false">G9-C9</f>
        <v>-0.001</v>
      </c>
      <c r="K9" s="14" t="s">
        <v>57</v>
      </c>
    </row>
    <row r="10" customFormat="false" ht="15" hidden="false" customHeight="false" outlineLevel="0" collapsed="false">
      <c r="A10" s="6" t="s">
        <v>56</v>
      </c>
      <c r="B10" s="15" t="s">
        <v>52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3" t="n">
        <f aca="false">E10-C10</f>
        <v>0</v>
      </c>
      <c r="J10" s="13" t="n">
        <f aca="false">G10-C10</f>
        <v>0</v>
      </c>
      <c r="K10" s="14" t="s">
        <v>58</v>
      </c>
    </row>
    <row r="11" customFormat="false" ht="15" hidden="false" customHeight="false" outlineLevel="0" collapsed="false">
      <c r="A11" s="6" t="s">
        <v>59</v>
      </c>
      <c r="B11" s="14" t="s">
        <v>50</v>
      </c>
      <c r="C11" s="11" t="n">
        <v>0.201</v>
      </c>
      <c r="D11" s="11" t="n">
        <v>0.003</v>
      </c>
      <c r="E11" s="11" t="n">
        <v>0.261</v>
      </c>
      <c r="F11" s="11" t="n">
        <v>0.105</v>
      </c>
      <c r="G11" s="11" t="n">
        <v>0.201</v>
      </c>
      <c r="H11" s="11" t="n">
        <v>0.003</v>
      </c>
      <c r="I11" s="13" t="n">
        <f aca="false">E11-C11</f>
        <v>0.06</v>
      </c>
      <c r="J11" s="13" t="n">
        <f aca="false">G11-C11</f>
        <v>0</v>
      </c>
      <c r="K11" s="14" t="s">
        <v>60</v>
      </c>
    </row>
    <row r="12" customFormat="false" ht="15" hidden="false" customHeight="false" outlineLevel="0" collapsed="false">
      <c r="A12" s="6" t="s">
        <v>59</v>
      </c>
      <c r="B12" s="15" t="s">
        <v>52</v>
      </c>
      <c r="C12" s="11" t="n">
        <v>0.205</v>
      </c>
      <c r="D12" s="11" t="n">
        <v>0.014</v>
      </c>
      <c r="E12" s="11" t="n">
        <v>0.196</v>
      </c>
      <c r="F12" s="11" t="n">
        <v>0.006</v>
      </c>
      <c r="G12" s="11" t="n">
        <v>0.194</v>
      </c>
      <c r="H12" s="11" t="n">
        <v>0.013</v>
      </c>
      <c r="I12" s="13" t="n">
        <f aca="false">E12-C12</f>
        <v>-0.00899999999999998</v>
      </c>
      <c r="J12" s="13" t="n">
        <f aca="false">G12-C12</f>
        <v>-0.011</v>
      </c>
      <c r="K12" s="14" t="s">
        <v>55</v>
      </c>
    </row>
    <row r="13" customFormat="false" ht="15" hidden="false" customHeight="false" outlineLevel="0" collapsed="false">
      <c r="A13" s="6" t="s">
        <v>61</v>
      </c>
      <c r="B13" s="14" t="s">
        <v>50</v>
      </c>
      <c r="C13" s="11" t="n">
        <v>0.529</v>
      </c>
      <c r="D13" s="11" t="n">
        <v>0.128</v>
      </c>
      <c r="E13" s="11" t="n">
        <v>0.545</v>
      </c>
      <c r="F13" s="11" t="n">
        <v>0.106</v>
      </c>
      <c r="G13" s="11" t="n">
        <v>0.569</v>
      </c>
      <c r="H13" s="11" t="n">
        <v>0.075</v>
      </c>
      <c r="I13" s="13" t="n">
        <f aca="false">E13-C13</f>
        <v>0.016</v>
      </c>
      <c r="J13" s="13" t="n">
        <f aca="false">G13-C13</f>
        <v>0.0399999999999999</v>
      </c>
      <c r="K13" s="14" t="s">
        <v>62</v>
      </c>
    </row>
    <row r="14" customFormat="false" ht="15" hidden="false" customHeight="false" outlineLevel="0" collapsed="false">
      <c r="A14" s="6" t="s">
        <v>61</v>
      </c>
      <c r="B14" s="15" t="s">
        <v>52</v>
      </c>
      <c r="C14" s="11" t="n">
        <v>0.182</v>
      </c>
      <c r="D14" s="11" t="n">
        <v>0.085</v>
      </c>
      <c r="E14" s="11" t="n">
        <v>0.152</v>
      </c>
      <c r="F14" s="11" t="n">
        <v>0.065</v>
      </c>
      <c r="G14" s="11" t="n">
        <v>0.172</v>
      </c>
      <c r="H14" s="11" t="n">
        <v>0.067</v>
      </c>
      <c r="I14" s="13" t="n">
        <f aca="false">E14-C14</f>
        <v>-0.03</v>
      </c>
      <c r="J14" s="13" t="n">
        <f aca="false">G14-C14</f>
        <v>-0.01</v>
      </c>
      <c r="K14" s="1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7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4" t="s">
        <v>64</v>
      </c>
    </row>
    <row r="4" customFormat="false" ht="23.85" hidden="false" customHeight="false" outlineLevel="0" collapsed="false">
      <c r="A4" s="5" t="s">
        <v>38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69</v>
      </c>
    </row>
    <row r="5" customFormat="false" ht="15" hidden="false" customHeight="false" outlineLevel="0" collapsed="false">
      <c r="A5" s="6" t="s">
        <v>49</v>
      </c>
      <c r="B5" s="9" t="n">
        <v>2</v>
      </c>
      <c r="C5" s="14" t="s">
        <v>50</v>
      </c>
      <c r="D5" s="9" t="n">
        <v>500</v>
      </c>
      <c r="E5" s="11" t="n">
        <v>0.516</v>
      </c>
      <c r="F5" s="11" t="n">
        <v>0.856</v>
      </c>
      <c r="G5" s="11" t="n">
        <v>0.249</v>
      </c>
      <c r="H5" s="11" t="n">
        <v>0.821</v>
      </c>
      <c r="I5" s="11" t="n">
        <v>0.309</v>
      </c>
      <c r="J5" s="11" t="n">
        <v>0.989</v>
      </c>
      <c r="K5" s="11" t="n">
        <v>0.018</v>
      </c>
      <c r="L5" s="14" t="str">
        <f aca="false">IF(MAX(F5,H5,J5)-MIN(F5,H5,J5)&lt;MAX(G5,I5,K5),"tie (within noise)",INDEX({"MoE","L24","L24xc"},MATCH(MAX(F5,H5,J5),CHOOSE({1,2,3},F5,H5,J5),0)))</f>
        <v>tie (within noise)</v>
      </c>
    </row>
    <row r="6" customFormat="false" ht="15" hidden="false" customHeight="false" outlineLevel="0" collapsed="false">
      <c r="A6" s="6" t="s">
        <v>49</v>
      </c>
      <c r="B6" s="9" t="n">
        <v>4</v>
      </c>
      <c r="C6" s="14" t="s">
        <v>50</v>
      </c>
      <c r="D6" s="9" t="n">
        <v>500</v>
      </c>
      <c r="E6" s="11" t="n">
        <v>0.28</v>
      </c>
      <c r="F6" s="11" t="n">
        <v>0.751</v>
      </c>
      <c r="G6" s="11" t="n">
        <v>0.431</v>
      </c>
      <c r="H6" s="11" t="n">
        <v>0.761</v>
      </c>
      <c r="I6" s="11" t="n">
        <v>0.41</v>
      </c>
      <c r="J6" s="11" t="n">
        <v>0.944</v>
      </c>
      <c r="K6" s="11" t="n">
        <v>0.097</v>
      </c>
      <c r="L6" s="14" t="str">
        <f aca="false">IF(MAX(F6,H6,J6)-MIN(F6,H6,J6)&lt;MAX(G6,I6,K6),"tie (within noise)",INDEX({"MoE","L24","L24xc"},MATCH(MAX(F6,H6,J6),CHOOSE({1,2,3},F6,H6,J6),0)))</f>
        <v>tie (within noise)</v>
      </c>
    </row>
    <row r="7" customFormat="false" ht="15" hidden="false" customHeight="false" outlineLevel="0" collapsed="false">
      <c r="A7" s="6" t="s">
        <v>49</v>
      </c>
      <c r="B7" s="9" t="n">
        <v>8</v>
      </c>
      <c r="C7" s="14" t="s">
        <v>50</v>
      </c>
      <c r="D7" s="9" t="n">
        <v>500</v>
      </c>
      <c r="E7" s="11" t="n">
        <v>0.172</v>
      </c>
      <c r="F7" s="11" t="n">
        <v>0.73</v>
      </c>
      <c r="G7" s="11" t="n">
        <v>0.468</v>
      </c>
      <c r="H7" s="11" t="n">
        <v>0.721</v>
      </c>
      <c r="I7" s="11" t="n">
        <v>0.481</v>
      </c>
      <c r="J7" s="11" t="n">
        <v>0.899</v>
      </c>
      <c r="K7" s="11" t="n">
        <v>0.176</v>
      </c>
      <c r="L7" s="14" t="str">
        <f aca="false">IF(MAX(F7,H7,J7)-MIN(F7,H7,J7)&lt;MAX(G7,I7,K7),"tie (within noise)",INDEX({"MoE","L24","L24xc"},MATCH(MAX(F7,H7,J7),CHOOSE({1,2,3},F7,H7,J7),0)))</f>
        <v>tie (within noise)</v>
      </c>
    </row>
    <row r="8" customFormat="false" ht="15" hidden="false" customHeight="false" outlineLevel="0" collapsed="false">
      <c r="A8" s="6" t="s">
        <v>49</v>
      </c>
      <c r="B8" s="9" t="n">
        <v>16</v>
      </c>
      <c r="C8" s="14" t="s">
        <v>50</v>
      </c>
      <c r="D8" s="9" t="n">
        <v>500</v>
      </c>
      <c r="E8" s="11" t="n">
        <v>0.122</v>
      </c>
      <c r="F8" s="11" t="n">
        <v>0.704</v>
      </c>
      <c r="G8" s="11" t="n">
        <v>0.513</v>
      </c>
      <c r="H8" s="11" t="n">
        <v>0.69</v>
      </c>
      <c r="I8" s="11" t="n">
        <v>0.532</v>
      </c>
      <c r="J8" s="11" t="n">
        <v>0.795</v>
      </c>
      <c r="K8" s="11" t="n">
        <v>0.354</v>
      </c>
      <c r="L8" s="14" t="str">
        <f aca="false">IF(MAX(F8,H8,J8)-MIN(F8,H8,J8)&lt;MAX(G8,I8,K8),"tie (within noise)",INDEX({"MoE","L24","L24xc"},MATCH(MAX(F8,H8,J8),CHOOSE({1,2,3},F8,H8,J8),0)))</f>
        <v>tie (within noise)</v>
      </c>
    </row>
    <row r="9" customFormat="false" ht="15" hidden="false" customHeight="false" outlineLevel="0" collapsed="false">
      <c r="A9" s="6" t="s">
        <v>49</v>
      </c>
      <c r="B9" s="9" t="n">
        <v>24</v>
      </c>
      <c r="C9" s="14" t="s">
        <v>50</v>
      </c>
      <c r="D9" s="9" t="n">
        <v>500</v>
      </c>
      <c r="E9" s="11" t="n">
        <v>0.094</v>
      </c>
      <c r="F9" s="11" t="n">
        <v>0.684</v>
      </c>
      <c r="G9" s="11" t="n">
        <v>0.547</v>
      </c>
      <c r="H9" s="11" t="n">
        <v>0.677</v>
      </c>
      <c r="I9" s="11" t="n">
        <v>0.538</v>
      </c>
      <c r="J9" s="11" t="n">
        <v>0.756</v>
      </c>
      <c r="K9" s="11" t="n">
        <v>0.421</v>
      </c>
      <c r="L9" s="14" t="str">
        <f aca="false">IF(MAX(F9,H9,J9)-MIN(F9,H9,J9)&lt;MAX(G9,I9,K9),"tie (within noise)",INDEX({"MoE","L24","L24xc"},MATCH(MAX(F9,H9,J9),CHOOSE({1,2,3},F9,H9,J9),0)))</f>
        <v>tie (within noise)</v>
      </c>
    </row>
    <row r="10" customFormat="false" ht="15" hidden="false" customHeight="false" outlineLevel="0" collapsed="false">
      <c r="A10" s="16" t="s">
        <v>49</v>
      </c>
      <c r="B10" s="17" t="n">
        <v>32</v>
      </c>
      <c r="C10" s="15" t="s">
        <v>52</v>
      </c>
      <c r="D10" s="17" t="n">
        <v>500</v>
      </c>
      <c r="E10" s="18" t="n">
        <v>0.078</v>
      </c>
      <c r="F10" s="18" t="n">
        <v>0.66</v>
      </c>
      <c r="G10" s="18" t="n">
        <v>0.533</v>
      </c>
      <c r="H10" s="18" t="n">
        <v>0.455</v>
      </c>
      <c r="I10" s="18" t="n">
        <v>0.394</v>
      </c>
      <c r="J10" s="18" t="n">
        <v>0.649</v>
      </c>
      <c r="K10" s="18" t="n">
        <v>0.415</v>
      </c>
      <c r="L10" s="15" t="str">
        <f aca="false">IF(MAX(F10,H10,J10)-MIN(F10,H10,J10)&lt;MAX(G10,I10,K10),"tie (within noise)",INDEX({"MoE","L24","L24xc"},MATCH(MAX(F10,H10,J10),CHOOSE({1,2,3},F10,H10,J10),0)))</f>
        <v>tie (within noise)</v>
      </c>
    </row>
    <row r="11" customFormat="false" ht="15" hidden="false" customHeight="false" outlineLevel="0" collapsed="false">
      <c r="A11" s="16" t="s">
        <v>49</v>
      </c>
      <c r="B11" s="17" t="n">
        <v>48</v>
      </c>
      <c r="C11" s="15" t="s">
        <v>52</v>
      </c>
      <c r="D11" s="17" t="n">
        <v>500</v>
      </c>
      <c r="E11" s="18" t="n">
        <v>0.062</v>
      </c>
      <c r="F11" s="18" t="n">
        <v>0.391</v>
      </c>
      <c r="G11" s="18" t="n">
        <v>0.296</v>
      </c>
      <c r="H11" s="18" t="n">
        <v>0.329</v>
      </c>
      <c r="I11" s="18" t="n">
        <v>0.258</v>
      </c>
      <c r="J11" s="18" t="n">
        <v>0.333</v>
      </c>
      <c r="K11" s="18" t="n">
        <v>0.225</v>
      </c>
      <c r="L11" s="15" t="str">
        <f aca="false">IF(MAX(F11,H11,J11)-MIN(F11,H11,J11)&lt;MAX(G11,I11,K11),"tie (within noise)",INDEX({"MoE","L24","L24xc"},MATCH(MAX(F11,H11,J11),CHOOSE({1,2,3},F11,H11,J11),0)))</f>
        <v>tie (within noise)</v>
      </c>
    </row>
    <row r="12" customFormat="false" ht="15" hidden="false" customHeight="false" outlineLevel="0" collapsed="false">
      <c r="A12" s="16" t="s">
        <v>49</v>
      </c>
      <c r="B12" s="17" t="n">
        <v>64</v>
      </c>
      <c r="C12" s="15" t="s">
        <v>52</v>
      </c>
      <c r="D12" s="17" t="n">
        <v>500</v>
      </c>
      <c r="E12" s="18" t="n">
        <v>0.066</v>
      </c>
      <c r="F12" s="18" t="n">
        <v>0.255</v>
      </c>
      <c r="G12" s="18" t="n">
        <v>0.193</v>
      </c>
      <c r="H12" s="18" t="n">
        <v>0.166</v>
      </c>
      <c r="I12" s="18" t="n">
        <v>0.129</v>
      </c>
      <c r="J12" s="18" t="n">
        <v>0.21</v>
      </c>
      <c r="K12" s="18" t="n">
        <v>0.153</v>
      </c>
      <c r="L12" s="15" t="str">
        <f aca="false">IF(MAX(F12,H12,J12)-MIN(F12,H12,J12)&lt;MAX(G12,I12,K12),"tie (within noise)",INDEX({"MoE","L24","L24xc"},MATCH(MAX(F12,H12,J12),CHOOSE({1,2,3},F12,H12,J12),0)))</f>
        <v>tie (within noise)</v>
      </c>
    </row>
    <row r="13" customFormat="false" ht="15" hidden="false" customHeight="false" outlineLevel="0" collapsed="false">
      <c r="A13" s="6" t="s">
        <v>53</v>
      </c>
      <c r="B13" s="9" t="n">
        <v>1</v>
      </c>
      <c r="C13" s="14" t="s">
        <v>50</v>
      </c>
      <c r="D13" s="9" t="n">
        <v>500</v>
      </c>
      <c r="E13" s="11" t="n">
        <v>1</v>
      </c>
      <c r="F13" s="11" t="n">
        <v>0.576</v>
      </c>
      <c r="G13" s="11" t="n">
        <v>0.469</v>
      </c>
      <c r="H13" s="11" t="n">
        <v>0.597</v>
      </c>
      <c r="I13" s="11" t="n">
        <v>0.457</v>
      </c>
      <c r="J13" s="11" t="n">
        <v>0.698</v>
      </c>
      <c r="K13" s="11" t="n">
        <v>0.506</v>
      </c>
      <c r="L13" s="14" t="str">
        <f aca="false">IF(MAX(F13,H13,J13)-MIN(F13,H13,J13)&lt;MAX(G13,I13,K13),"tie (within noise)",INDEX({"MoE","L24","L24xc"},MATCH(MAX(F13,H13,J13),CHOOSE({1,2,3},F13,H13,J13),0)))</f>
        <v>tie (within noise)</v>
      </c>
    </row>
    <row r="14" customFormat="false" ht="15" hidden="false" customHeight="false" outlineLevel="0" collapsed="false">
      <c r="A14" s="6" t="s">
        <v>53</v>
      </c>
      <c r="B14" s="9" t="n">
        <v>2</v>
      </c>
      <c r="C14" s="14" t="s">
        <v>50</v>
      </c>
      <c r="D14" s="9" t="n">
        <v>500</v>
      </c>
      <c r="E14" s="11" t="n">
        <v>0.091</v>
      </c>
      <c r="F14" s="11" t="n">
        <v>0.085</v>
      </c>
      <c r="G14" s="11" t="n">
        <v>0.005</v>
      </c>
      <c r="H14" s="11" t="n">
        <v>0.093</v>
      </c>
      <c r="I14" s="11" t="n">
        <v>0.021</v>
      </c>
      <c r="J14" s="11" t="n">
        <v>0.107</v>
      </c>
      <c r="K14" s="11" t="n">
        <v>0.008</v>
      </c>
      <c r="L14" s="14" t="str">
        <f aca="false">IF(MAX(F14,H14,J14)-MIN(F14,H14,J14)&lt;MAX(G14,I14,K14),"tie (within noise)",INDEX({"MoE","L24","L24xc"},MATCH(MAX(F14,H14,J14),CHOOSE({1,2,3},F14,H14,J14),0)))</f>
        <v>L24xc</v>
      </c>
    </row>
    <row r="15" customFormat="false" ht="15" hidden="false" customHeight="false" outlineLevel="0" collapsed="false">
      <c r="A15" s="6" t="s">
        <v>53</v>
      </c>
      <c r="B15" s="9" t="n">
        <v>3</v>
      </c>
      <c r="C15" s="14" t="s">
        <v>50</v>
      </c>
      <c r="D15" s="9" t="n">
        <v>500</v>
      </c>
      <c r="E15" s="11" t="n">
        <v>0.091</v>
      </c>
      <c r="F15" s="11" t="n">
        <v>0.089</v>
      </c>
      <c r="G15" s="11" t="n">
        <v>0.013</v>
      </c>
      <c r="H15" s="11" t="n">
        <v>0.109</v>
      </c>
      <c r="I15" s="11" t="n">
        <v>0.017</v>
      </c>
      <c r="J15" s="11" t="n">
        <v>0.103</v>
      </c>
      <c r="K15" s="11" t="n">
        <v>0.008</v>
      </c>
      <c r="L15" s="14" t="str">
        <f aca="false">IF(MAX(F15,H15,J15)-MIN(F15,H15,J15)&lt;MAX(G15,I15,K15),"tie (within noise)",INDEX({"MoE","L24","L24xc"},MATCH(MAX(F15,H15,J15),CHOOSE({1,2,3},F15,H15,J15),0)))</f>
        <v>L24</v>
      </c>
    </row>
    <row r="16" customFormat="false" ht="15" hidden="false" customHeight="false" outlineLevel="0" collapsed="false">
      <c r="A16" s="6" t="s">
        <v>53</v>
      </c>
      <c r="B16" s="9" t="n">
        <v>4</v>
      </c>
      <c r="C16" s="14" t="s">
        <v>50</v>
      </c>
      <c r="D16" s="9" t="n">
        <v>500</v>
      </c>
      <c r="E16" s="11" t="n">
        <v>0.091</v>
      </c>
      <c r="F16" s="11" t="n">
        <v>0.078</v>
      </c>
      <c r="G16" s="11" t="n">
        <v>0.004</v>
      </c>
      <c r="H16" s="11" t="n">
        <v>0.099</v>
      </c>
      <c r="I16" s="11" t="n">
        <v>0.019</v>
      </c>
      <c r="J16" s="11" t="n">
        <v>0.094</v>
      </c>
      <c r="K16" s="11" t="n">
        <v>0.025</v>
      </c>
      <c r="L16" s="14" t="str">
        <f aca="false">IF(MAX(F16,H16,J16)-MIN(F16,H16,J16)&lt;MAX(G16,I16,K16),"tie (within noise)",INDEX({"MoE","L24","L24xc"},MATCH(MAX(F16,H16,J16),CHOOSE({1,2,3},F16,H16,J16),0)))</f>
        <v>tie (within noise)</v>
      </c>
    </row>
    <row r="17" customFormat="false" ht="15" hidden="false" customHeight="false" outlineLevel="0" collapsed="false">
      <c r="A17" s="6" t="s">
        <v>53</v>
      </c>
      <c r="B17" s="9" t="n">
        <v>5</v>
      </c>
      <c r="C17" s="14" t="s">
        <v>50</v>
      </c>
      <c r="D17" s="9" t="n">
        <v>500</v>
      </c>
      <c r="E17" s="11" t="n">
        <v>0.091</v>
      </c>
      <c r="F17" s="11" t="n">
        <v>0.095</v>
      </c>
      <c r="G17" s="11" t="n">
        <v>0.018</v>
      </c>
      <c r="H17" s="11" t="n">
        <v>0.105</v>
      </c>
      <c r="I17" s="11" t="n">
        <v>0.009</v>
      </c>
      <c r="J17" s="11" t="n">
        <v>0.098</v>
      </c>
      <c r="K17" s="11" t="n">
        <v>0.013</v>
      </c>
      <c r="L17" s="14" t="str">
        <f aca="false">IF(MAX(F17,H17,J17)-MIN(F17,H17,J17)&lt;MAX(G17,I17,K17),"tie (within noise)",INDEX({"MoE","L24","L24xc"},MATCH(MAX(F17,H17,J17),CHOOSE({1,2,3},F17,H17,J17),0)))</f>
        <v>tie (within noise)</v>
      </c>
    </row>
    <row r="18" customFormat="false" ht="15" hidden="false" customHeight="false" outlineLevel="0" collapsed="false">
      <c r="A18" s="6" t="s">
        <v>53</v>
      </c>
      <c r="B18" s="9" t="n">
        <v>6</v>
      </c>
      <c r="C18" s="14" t="s">
        <v>50</v>
      </c>
      <c r="D18" s="9" t="n">
        <v>500</v>
      </c>
      <c r="E18" s="11" t="n">
        <v>0.091</v>
      </c>
      <c r="F18" s="11" t="n">
        <v>0.093</v>
      </c>
      <c r="G18" s="11" t="n">
        <v>0.01</v>
      </c>
      <c r="H18" s="11" t="n">
        <v>0.1</v>
      </c>
      <c r="I18" s="11" t="n">
        <v>0.028</v>
      </c>
      <c r="J18" s="11" t="n">
        <v>0.096</v>
      </c>
      <c r="K18" s="11" t="n">
        <v>0.004</v>
      </c>
      <c r="L18" s="14" t="str">
        <f aca="false">IF(MAX(F18,H18,J18)-MIN(F18,H18,J18)&lt;MAX(G18,I18,K18),"tie (within noise)",INDEX({"MoE","L24","L24xc"},MATCH(MAX(F18,H18,J18),CHOOSE({1,2,3},F18,H18,J18),0)))</f>
        <v>tie (within noise)</v>
      </c>
    </row>
    <row r="19" customFormat="false" ht="15" hidden="false" customHeight="false" outlineLevel="0" collapsed="false">
      <c r="A19" s="16" t="s">
        <v>53</v>
      </c>
      <c r="B19" s="17" t="n">
        <v>7</v>
      </c>
      <c r="C19" s="15" t="s">
        <v>52</v>
      </c>
      <c r="D19" s="17" t="n">
        <v>500</v>
      </c>
      <c r="E19" s="18" t="n">
        <v>0.091</v>
      </c>
      <c r="F19" s="18" t="n">
        <v>0.083</v>
      </c>
      <c r="G19" s="18" t="n">
        <v>0.009</v>
      </c>
      <c r="H19" s="18" t="n">
        <v>0.094</v>
      </c>
      <c r="I19" s="18" t="n">
        <v>0.007</v>
      </c>
      <c r="J19" s="18" t="n">
        <v>0.095</v>
      </c>
      <c r="K19" s="18" t="n">
        <v>0.016</v>
      </c>
      <c r="L19" s="15" t="str">
        <f aca="false">IF(MAX(F19,H19,J19)-MIN(F19,H19,J19)&lt;MAX(G19,I19,K19),"tie (within noise)",INDEX({"MoE","L24","L24xc"},MATCH(MAX(F19,H19,J19),CHOOSE({1,2,3},F19,H19,J19),0)))</f>
        <v>tie (within noise)</v>
      </c>
    </row>
    <row r="20" customFormat="false" ht="15" hidden="false" customHeight="false" outlineLevel="0" collapsed="false">
      <c r="A20" s="16" t="s">
        <v>53</v>
      </c>
      <c r="B20" s="17" t="n">
        <v>8</v>
      </c>
      <c r="C20" s="15" t="s">
        <v>52</v>
      </c>
      <c r="D20" s="17" t="n">
        <v>500</v>
      </c>
      <c r="E20" s="18" t="n">
        <v>0.096</v>
      </c>
      <c r="F20" s="18" t="n">
        <v>0.095</v>
      </c>
      <c r="G20" s="18" t="n">
        <v>0.012</v>
      </c>
      <c r="H20" s="18" t="n">
        <v>0.083</v>
      </c>
      <c r="I20" s="18" t="n">
        <v>0.013</v>
      </c>
      <c r="J20" s="18" t="n">
        <v>0.102</v>
      </c>
      <c r="K20" s="18" t="n">
        <v>0.016</v>
      </c>
      <c r="L20" s="15" t="str">
        <f aca="false">IF(MAX(F20,H20,J20)-MIN(F20,H20,J20)&lt;MAX(G20,I20,K20),"tie (within noise)",INDEX({"MoE","L24","L24xc"},MATCH(MAX(F20,H20,J20),CHOOSE({1,2,3},F20,H20,J20),0)))</f>
        <v>L24xc</v>
      </c>
    </row>
    <row r="21" customFormat="false" ht="15" hidden="false" customHeight="false" outlineLevel="0" collapsed="false">
      <c r="A21" s="16" t="s">
        <v>53</v>
      </c>
      <c r="B21" s="17" t="n">
        <v>10</v>
      </c>
      <c r="C21" s="15" t="s">
        <v>52</v>
      </c>
      <c r="D21" s="17" t="n">
        <v>500</v>
      </c>
      <c r="E21" s="18" t="n">
        <v>0.091</v>
      </c>
      <c r="F21" s="18" t="n">
        <v>0.09</v>
      </c>
      <c r="G21" s="18" t="n">
        <v>0.005</v>
      </c>
      <c r="H21" s="18" t="n">
        <v>0.106</v>
      </c>
      <c r="I21" s="18" t="n">
        <v>0.021</v>
      </c>
      <c r="J21" s="18" t="n">
        <v>0.095</v>
      </c>
      <c r="K21" s="18" t="n">
        <v>0.019</v>
      </c>
      <c r="L21" s="15" t="str">
        <f aca="false">IF(MAX(F21,H21,J21)-MIN(F21,H21,J21)&lt;MAX(G21,I21,K21),"tie (within noise)",INDEX({"MoE","L24","L24xc"},MATCH(MAX(F21,H21,J21),CHOOSE({1,2,3},F21,H21,J21),0)))</f>
        <v>tie (within noise)</v>
      </c>
    </row>
    <row r="22" customFormat="false" ht="15" hidden="false" customHeight="false" outlineLevel="0" collapsed="false">
      <c r="A22" s="6" t="s">
        <v>56</v>
      </c>
      <c r="B22" s="9" t="n">
        <v>1</v>
      </c>
      <c r="C22" s="14" t="s">
        <v>50</v>
      </c>
      <c r="D22" s="9" t="n">
        <v>2</v>
      </c>
      <c r="E22" s="11" t="n">
        <v>0.5</v>
      </c>
      <c r="F22" s="11" t="n">
        <v>1</v>
      </c>
      <c r="G22" s="11" t="n">
        <v>0</v>
      </c>
      <c r="H22" s="11" t="n">
        <v>1</v>
      </c>
      <c r="I22" s="11" t="n">
        <v>0</v>
      </c>
      <c r="J22" s="11" t="n">
        <v>1</v>
      </c>
      <c r="K22" s="11" t="n">
        <v>0</v>
      </c>
      <c r="L22" s="14" t="str">
        <f aca="false">IF(MAX(F22,H22,J22)-MIN(F22,H22,J22)&lt;MAX(G22,I22,K22),"tie (within noise)",INDEX({"MoE","L24","L24xc"},MATCH(MAX(F22,H22,J22),CHOOSE({1,2,3},F22,H22,J22),0)))</f>
        <v>MoE</v>
      </c>
    </row>
    <row r="23" customFormat="false" ht="15" hidden="false" customHeight="false" outlineLevel="0" collapsed="false">
      <c r="A23" s="6" t="s">
        <v>56</v>
      </c>
      <c r="B23" s="9" t="n">
        <v>2</v>
      </c>
      <c r="C23" s="14" t="s">
        <v>50</v>
      </c>
      <c r="D23" s="9" t="n">
        <v>500</v>
      </c>
      <c r="E23" s="11" t="n">
        <v>0.28</v>
      </c>
      <c r="F23" s="11" t="n">
        <v>1</v>
      </c>
      <c r="G23" s="11" t="n">
        <v>0</v>
      </c>
      <c r="H23" s="11" t="n">
        <v>1</v>
      </c>
      <c r="I23" s="11" t="n">
        <v>0</v>
      </c>
      <c r="J23" s="11" t="n">
        <v>1</v>
      </c>
      <c r="K23" s="11" t="n">
        <v>0</v>
      </c>
      <c r="L23" s="14" t="str">
        <f aca="false">IF(MAX(F23,H23,J23)-MIN(F23,H23,J23)&lt;MAX(G23,I23,K23),"tie (within noise)",INDEX({"MoE","L24","L24xc"},MATCH(MAX(F23,H23,J23),CHOOSE({1,2,3},F23,H23,J23),0)))</f>
        <v>MoE</v>
      </c>
    </row>
    <row r="24" customFormat="false" ht="15" hidden="false" customHeight="false" outlineLevel="0" collapsed="false">
      <c r="A24" s="6" t="s">
        <v>56</v>
      </c>
      <c r="B24" s="9" t="n">
        <v>3</v>
      </c>
      <c r="C24" s="14" t="s">
        <v>50</v>
      </c>
      <c r="D24" s="9" t="n">
        <v>500</v>
      </c>
      <c r="E24" s="11" t="n">
        <v>0.176</v>
      </c>
      <c r="F24" s="11" t="n">
        <v>1</v>
      </c>
      <c r="G24" s="11" t="n">
        <v>0</v>
      </c>
      <c r="H24" s="11" t="n">
        <v>1</v>
      </c>
      <c r="I24" s="11" t="n">
        <v>0</v>
      </c>
      <c r="J24" s="11" t="n">
        <v>0.999</v>
      </c>
      <c r="K24" s="11" t="n">
        <v>0.002</v>
      </c>
      <c r="L24" s="14" t="str">
        <f aca="false">IF(MAX(F24,H24,J24)-MIN(F24,H24,J24)&lt;MAX(G24,I24,K24),"tie (within noise)",INDEX({"MoE","L24","L24xc"},MATCH(MAX(F24,H24,J24),CHOOSE({1,2,3},F24,H24,J24),0)))</f>
        <v>tie (within noise)</v>
      </c>
    </row>
    <row r="25" customFormat="false" ht="15" hidden="false" customHeight="false" outlineLevel="0" collapsed="false">
      <c r="A25" s="6" t="s">
        <v>56</v>
      </c>
      <c r="B25" s="9" t="n">
        <v>4</v>
      </c>
      <c r="C25" s="14" t="s">
        <v>50</v>
      </c>
      <c r="D25" s="9" t="n">
        <v>500</v>
      </c>
      <c r="E25" s="11" t="n">
        <v>0.09</v>
      </c>
      <c r="F25" s="11" t="n">
        <v>1</v>
      </c>
      <c r="G25" s="11" t="n">
        <v>0</v>
      </c>
      <c r="H25" s="11" t="n">
        <v>0.999</v>
      </c>
      <c r="I25" s="11" t="n">
        <v>0.001</v>
      </c>
      <c r="J25" s="11" t="n">
        <v>0.999</v>
      </c>
      <c r="K25" s="11" t="n">
        <v>0.001</v>
      </c>
      <c r="L25" s="14" t="str">
        <f aca="false">IF(MAX(F25,H25,J25)-MIN(F25,H25,J25)&lt;MAX(G25,I25,K25),"tie (within noise)",INDEX({"MoE","L24","L24xc"},MATCH(MAX(F25,H25,J25),CHOOSE({1,2,3},F25,H25,J25),0)))</f>
        <v>MoE</v>
      </c>
    </row>
    <row r="26" customFormat="false" ht="15" hidden="false" customHeight="false" outlineLevel="0" collapsed="false">
      <c r="A26" s="6" t="s">
        <v>56</v>
      </c>
      <c r="B26" s="9" t="n">
        <v>5</v>
      </c>
      <c r="C26" s="14" t="s">
        <v>50</v>
      </c>
      <c r="D26" s="9" t="n">
        <v>500</v>
      </c>
      <c r="E26" s="11" t="n">
        <v>0.04</v>
      </c>
      <c r="F26" s="11" t="n">
        <v>1</v>
      </c>
      <c r="G26" s="11" t="n">
        <v>0</v>
      </c>
      <c r="H26" s="11" t="n">
        <v>1</v>
      </c>
      <c r="I26" s="11" t="n">
        <v>0</v>
      </c>
      <c r="J26" s="11" t="n">
        <v>0.998</v>
      </c>
      <c r="K26" s="11" t="n">
        <v>0.002</v>
      </c>
      <c r="L26" s="14" t="str">
        <f aca="false">IF(MAX(F26,H26,J26)-MIN(F26,H26,J26)&lt;MAX(G26,I26,K26),"tie (within noise)",INDEX({"MoE","L24","L24xc"},MATCH(MAX(F26,H26,J26),CHOOSE({1,2,3},F26,H26,J26),0)))</f>
        <v>MoE</v>
      </c>
    </row>
    <row r="27" customFormat="false" ht="15" hidden="false" customHeight="false" outlineLevel="0" collapsed="false">
      <c r="A27" s="6" t="s">
        <v>56</v>
      </c>
      <c r="B27" s="9" t="n">
        <v>6</v>
      </c>
      <c r="C27" s="14" t="s">
        <v>50</v>
      </c>
      <c r="D27" s="9" t="n">
        <v>500</v>
      </c>
      <c r="E27" s="11" t="n">
        <v>0.02</v>
      </c>
      <c r="F27" s="11" t="n">
        <v>1</v>
      </c>
      <c r="G27" s="11" t="n">
        <v>0</v>
      </c>
      <c r="H27" s="11" t="n">
        <v>1</v>
      </c>
      <c r="I27" s="11" t="n">
        <v>0</v>
      </c>
      <c r="J27" s="11" t="n">
        <v>0.998</v>
      </c>
      <c r="K27" s="11" t="n">
        <v>0.002</v>
      </c>
      <c r="L27" s="14" t="str">
        <f aca="false">IF(MAX(F27,H27,J27)-MIN(F27,H27,J27)&lt;MAX(G27,I27,K27),"tie (within noise)",INDEX({"MoE","L24","L24xc"},MATCH(MAX(F27,H27,J27),CHOOSE({1,2,3},F27,H27,J27),0)))</f>
        <v>MoE</v>
      </c>
    </row>
    <row r="28" customFormat="false" ht="15" hidden="false" customHeight="false" outlineLevel="0" collapsed="false">
      <c r="A28" s="16" t="s">
        <v>56</v>
      </c>
      <c r="B28" s="17" t="n">
        <v>8</v>
      </c>
      <c r="C28" s="15" t="s">
        <v>52</v>
      </c>
      <c r="D28" s="17" t="n">
        <v>500</v>
      </c>
      <c r="E28" s="18" t="n">
        <v>0.006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5" t="str">
        <f aca="false">IF(MAX(F28,H28,J28)-MIN(F28,H28,J28)&lt;MAX(G28,I28,K28),"tie (within noise)",INDEX({"MoE","L24","L24xc"},MATCH(MAX(F28,H28,J28),CHOOSE({1,2,3},F28,H28,J28),0)))</f>
        <v>MoE</v>
      </c>
    </row>
    <row r="29" customFormat="false" ht="15" hidden="false" customHeight="false" outlineLevel="0" collapsed="false">
      <c r="A29" s="16" t="s">
        <v>56</v>
      </c>
      <c r="B29" s="17" t="n">
        <v>10</v>
      </c>
      <c r="C29" s="15" t="s">
        <v>52</v>
      </c>
      <c r="D29" s="17" t="n">
        <v>500</v>
      </c>
      <c r="E29" s="18" t="n">
        <v>0.002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5" t="str">
        <f aca="false">IF(MAX(F29,H29,J29)-MIN(F29,H29,J29)&lt;MAX(G29,I29,K29),"tie (within noise)",INDEX({"MoE","L24","L24xc"},MATCH(MAX(F29,H29,J29),CHOOSE({1,2,3},F29,H29,J29),0)))</f>
        <v>MoE</v>
      </c>
    </row>
    <row r="30" customFormat="false" ht="15" hidden="false" customHeight="false" outlineLevel="0" collapsed="false">
      <c r="A30" s="6" t="s">
        <v>59</v>
      </c>
      <c r="B30" s="9" t="n">
        <v>2</v>
      </c>
      <c r="C30" s="14" t="s">
        <v>50</v>
      </c>
      <c r="D30" s="9" t="n">
        <v>1</v>
      </c>
      <c r="E30" s="11" t="n">
        <v>1</v>
      </c>
      <c r="F30" s="11" t="n">
        <v>0.333</v>
      </c>
      <c r="G30" s="11" t="n">
        <v>0.577</v>
      </c>
      <c r="H30" s="11" t="n">
        <v>0.333</v>
      </c>
      <c r="I30" s="11" t="n">
        <v>0.577</v>
      </c>
      <c r="J30" s="11" t="n">
        <v>0.667</v>
      </c>
      <c r="K30" s="11" t="n">
        <v>0.577</v>
      </c>
      <c r="L30" s="14" t="str">
        <f aca="false">IF(MAX(F30,H30,J30)-MIN(F30,H30,J30)&lt;MAX(G30,I30,K30),"tie (within noise)",INDEX({"MoE","L24","L24xc"},MATCH(MAX(F30,H30,J30),CHOOSE({1,2,3},F30,H30,J30),0)))</f>
        <v>tie (within noise)</v>
      </c>
    </row>
    <row r="31" customFormat="false" ht="15" hidden="false" customHeight="false" outlineLevel="0" collapsed="false">
      <c r="A31" s="6" t="s">
        <v>59</v>
      </c>
      <c r="B31" s="9" t="n">
        <v>4</v>
      </c>
      <c r="C31" s="14" t="s">
        <v>50</v>
      </c>
      <c r="D31" s="9" t="n">
        <v>28</v>
      </c>
      <c r="E31" s="11" t="n">
        <v>0.357</v>
      </c>
      <c r="F31" s="11" t="n">
        <v>0.429</v>
      </c>
      <c r="G31" s="11" t="n">
        <v>0.495</v>
      </c>
      <c r="H31" s="11" t="n">
        <v>0.976</v>
      </c>
      <c r="I31" s="11" t="n">
        <v>0.041</v>
      </c>
      <c r="J31" s="11" t="n">
        <v>0.19</v>
      </c>
      <c r="K31" s="11" t="n">
        <v>0.115</v>
      </c>
      <c r="L31" s="14" t="str">
        <f aca="false">IF(MAX(F31,H31,J31)-MIN(F31,H31,J31)&lt;MAX(G31,I31,K31),"tie (within noise)",INDEX({"MoE","L24","L24xc"},MATCH(MAX(F31,H31,J31),CHOOSE({1,2,3},F31,H31,J31),0)))</f>
        <v>L24</v>
      </c>
    </row>
    <row r="32" customFormat="false" ht="15" hidden="false" customHeight="false" outlineLevel="0" collapsed="false">
      <c r="A32" s="6" t="s">
        <v>59</v>
      </c>
      <c r="B32" s="9" t="n">
        <v>8</v>
      </c>
      <c r="C32" s="14" t="s">
        <v>50</v>
      </c>
      <c r="D32" s="9" t="n">
        <v>500</v>
      </c>
      <c r="E32" s="11" t="n">
        <v>0.226</v>
      </c>
      <c r="F32" s="11" t="n">
        <v>0.212</v>
      </c>
      <c r="G32" s="11" t="n">
        <v>0.011</v>
      </c>
      <c r="H32" s="11" t="n">
        <v>0.459</v>
      </c>
      <c r="I32" s="11" t="n">
        <v>0.418</v>
      </c>
      <c r="J32" s="11" t="n">
        <v>0.203</v>
      </c>
      <c r="K32" s="11" t="n">
        <v>0.009</v>
      </c>
      <c r="L32" s="14" t="str">
        <f aca="false">IF(MAX(F32,H32,J32)-MIN(F32,H32,J32)&lt;MAX(G32,I32,K32),"tie (within noise)",INDEX({"MoE","L24","L24xc"},MATCH(MAX(F32,H32,J32),CHOOSE({1,2,3},F32,H32,J32),0)))</f>
        <v>tie (within noise)</v>
      </c>
    </row>
    <row r="33" customFormat="false" ht="15" hidden="false" customHeight="false" outlineLevel="0" collapsed="false">
      <c r="A33" s="6" t="s">
        <v>59</v>
      </c>
      <c r="B33" s="9" t="n">
        <v>12</v>
      </c>
      <c r="C33" s="14" t="s">
        <v>50</v>
      </c>
      <c r="D33" s="9" t="n">
        <v>500</v>
      </c>
      <c r="E33" s="11" t="n">
        <v>0.224</v>
      </c>
      <c r="F33" s="11" t="n">
        <v>0.206</v>
      </c>
      <c r="G33" s="11" t="n">
        <v>0.01</v>
      </c>
      <c r="H33" s="11" t="n">
        <v>0.209</v>
      </c>
      <c r="I33" s="11" t="n">
        <v>0.021</v>
      </c>
      <c r="J33" s="11" t="n">
        <v>0.201</v>
      </c>
      <c r="K33" s="11" t="n">
        <v>0.011</v>
      </c>
      <c r="L33" s="14" t="str">
        <f aca="false">IF(MAX(F33,H33,J33)-MIN(F33,H33,J33)&lt;MAX(G33,I33,K33),"tie (within noise)",INDEX({"MoE","L24","L24xc"},MATCH(MAX(F33,H33,J33),CHOOSE({1,2,3},F33,H33,J33),0)))</f>
        <v>tie (within noise)</v>
      </c>
    </row>
    <row r="34" customFormat="false" ht="15" hidden="false" customHeight="false" outlineLevel="0" collapsed="false">
      <c r="A34" s="6" t="s">
        <v>59</v>
      </c>
      <c r="B34" s="9" t="n">
        <v>16</v>
      </c>
      <c r="C34" s="14" t="s">
        <v>50</v>
      </c>
      <c r="D34" s="9" t="n">
        <v>500</v>
      </c>
      <c r="E34" s="11" t="n">
        <v>0.218</v>
      </c>
      <c r="F34" s="11" t="n">
        <v>0.195</v>
      </c>
      <c r="G34" s="11" t="n">
        <v>0.022</v>
      </c>
      <c r="H34" s="11" t="n">
        <v>0.189</v>
      </c>
      <c r="I34" s="11" t="n">
        <v>0.014</v>
      </c>
      <c r="J34" s="11" t="n">
        <v>0.205</v>
      </c>
      <c r="K34" s="11" t="n">
        <v>0.017</v>
      </c>
      <c r="L34" s="14" t="str">
        <f aca="false">IF(MAX(F34,H34,J34)-MIN(F34,H34,J34)&lt;MAX(G34,I34,K34),"tie (within noise)",INDEX({"MoE","L24","L24xc"},MATCH(MAX(F34,H34,J34),CHOOSE({1,2,3},F34,H34,J34),0)))</f>
        <v>tie (within noise)</v>
      </c>
    </row>
    <row r="35" customFormat="false" ht="15" hidden="false" customHeight="false" outlineLevel="0" collapsed="false">
      <c r="A35" s="6" t="s">
        <v>59</v>
      </c>
      <c r="B35" s="9" t="n">
        <v>24</v>
      </c>
      <c r="C35" s="14" t="s">
        <v>50</v>
      </c>
      <c r="D35" s="9" t="n">
        <v>500</v>
      </c>
      <c r="E35" s="11" t="n">
        <v>0.212</v>
      </c>
      <c r="F35" s="11" t="n">
        <v>0.189</v>
      </c>
      <c r="G35" s="11" t="n">
        <v>0.018</v>
      </c>
      <c r="H35" s="11" t="n">
        <v>0.185</v>
      </c>
      <c r="I35" s="11" t="n">
        <v>0.013</v>
      </c>
      <c r="J35" s="11" t="n">
        <v>0.196</v>
      </c>
      <c r="K35" s="11" t="n">
        <v>0.002</v>
      </c>
      <c r="L35" s="14" t="str">
        <f aca="false">IF(MAX(F35,H35,J35)-MIN(F35,H35,J35)&lt;MAX(G35,I35,K35),"tie (within noise)",INDEX({"MoE","L24","L24xc"},MATCH(MAX(F35,H35,J35),CHOOSE({1,2,3},F35,H35,J35),0)))</f>
        <v>tie (within noise)</v>
      </c>
    </row>
    <row r="36" customFormat="false" ht="15" hidden="false" customHeight="false" outlineLevel="0" collapsed="false">
      <c r="A36" s="16" t="s">
        <v>59</v>
      </c>
      <c r="B36" s="17" t="n">
        <v>32</v>
      </c>
      <c r="C36" s="15" t="s">
        <v>52</v>
      </c>
      <c r="D36" s="17" t="n">
        <v>500</v>
      </c>
      <c r="E36" s="18" t="n">
        <v>0.224</v>
      </c>
      <c r="F36" s="18" t="n">
        <v>0.213</v>
      </c>
      <c r="G36" s="18" t="n">
        <v>0.022</v>
      </c>
      <c r="H36" s="18" t="n">
        <v>0.189</v>
      </c>
      <c r="I36" s="18" t="n">
        <v>0.006</v>
      </c>
      <c r="J36" s="18" t="n">
        <v>0.195</v>
      </c>
      <c r="K36" s="18" t="n">
        <v>0.022</v>
      </c>
      <c r="L36" s="15" t="str">
        <f aca="false">IF(MAX(F36,H36,J36)-MIN(F36,H36,J36)&lt;MAX(G36,I36,K36),"tie (within noise)",INDEX({"MoE","L24","L24xc"},MATCH(MAX(F36,H36,J36),CHOOSE({1,2,3},F36,H36,J36),0)))</f>
        <v>MoE</v>
      </c>
    </row>
    <row r="37" customFormat="false" ht="15" hidden="false" customHeight="false" outlineLevel="0" collapsed="false">
      <c r="A37" s="16" t="s">
        <v>59</v>
      </c>
      <c r="B37" s="17" t="n">
        <v>48</v>
      </c>
      <c r="C37" s="15" t="s">
        <v>52</v>
      </c>
      <c r="D37" s="17" t="n">
        <v>500</v>
      </c>
      <c r="E37" s="18" t="n">
        <v>0.216</v>
      </c>
      <c r="F37" s="18" t="n">
        <v>0.196</v>
      </c>
      <c r="G37" s="18" t="n">
        <v>0.007</v>
      </c>
      <c r="H37" s="18" t="n">
        <v>0.203</v>
      </c>
      <c r="I37" s="18" t="n">
        <v>0.009</v>
      </c>
      <c r="J37" s="18" t="n">
        <v>0.193</v>
      </c>
      <c r="K37" s="18" t="n">
        <v>0.003</v>
      </c>
      <c r="L37" s="15" t="str">
        <f aca="false">IF(MAX(F37,H37,J37)-MIN(F37,H37,J37)&lt;MAX(G37,I37,K37),"tie (within noise)",INDEX({"MoE","L24","L24xc"},MATCH(MAX(F37,H37,J37),CHOOSE({1,2,3},F37,H37,J37),0)))</f>
        <v>L24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1"/>
    <col collapsed="false" customWidth="true" hidden="false" outlineLevel="0" max="7" min="6" style="0" width="1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4" t="s">
        <v>71</v>
      </c>
    </row>
    <row r="4" customFormat="false" ht="15" hidden="false" customHeight="false" outlineLevel="0" collapsed="false">
      <c r="A4" s="5" t="s">
        <v>38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5" t="s">
        <v>78</v>
      </c>
    </row>
    <row r="5" customFormat="false" ht="15" hidden="false" customHeight="false" outlineLevel="0" collapsed="false">
      <c r="A5" s="6" t="s">
        <v>49</v>
      </c>
      <c r="B5" s="19" t="s">
        <v>79</v>
      </c>
      <c r="C5" s="19" t="s">
        <v>80</v>
      </c>
      <c r="D5" s="19" t="s">
        <v>81</v>
      </c>
      <c r="E5" s="19" t="s">
        <v>81</v>
      </c>
      <c r="F5" s="19" t="s">
        <v>81</v>
      </c>
      <c r="G5" s="19" t="s">
        <v>79</v>
      </c>
      <c r="H5" s="14" t="s">
        <v>82</v>
      </c>
    </row>
    <row r="6" customFormat="false" ht="15" hidden="false" customHeight="false" outlineLevel="0" collapsed="false">
      <c r="A6" s="6" t="s">
        <v>53</v>
      </c>
      <c r="B6" s="19" t="s">
        <v>83</v>
      </c>
      <c r="C6" s="19" t="s">
        <v>84</v>
      </c>
      <c r="D6" s="19" t="s">
        <v>83</v>
      </c>
      <c r="E6" s="19" t="s">
        <v>84</v>
      </c>
      <c r="F6" s="19" t="s">
        <v>84</v>
      </c>
      <c r="G6" s="19" t="s">
        <v>84</v>
      </c>
      <c r="H6" s="14" t="s">
        <v>85</v>
      </c>
    </row>
    <row r="7" customFormat="false" ht="15" hidden="false" customHeight="false" outlineLevel="0" collapsed="false">
      <c r="A7" s="6" t="s">
        <v>56</v>
      </c>
      <c r="B7" s="19" t="s">
        <v>86</v>
      </c>
      <c r="C7" s="19" t="s">
        <v>86</v>
      </c>
      <c r="D7" s="19" t="s">
        <v>86</v>
      </c>
      <c r="E7" s="19" t="s">
        <v>86</v>
      </c>
      <c r="F7" s="19" t="s">
        <v>86</v>
      </c>
      <c r="G7" s="19" t="s">
        <v>86</v>
      </c>
      <c r="H7" s="14" t="s">
        <v>87</v>
      </c>
    </row>
    <row r="8" customFormat="false" ht="15" hidden="false" customHeight="false" outlineLevel="0" collapsed="false">
      <c r="A8" s="6" t="s">
        <v>59</v>
      </c>
      <c r="B8" s="19" t="s">
        <v>88</v>
      </c>
      <c r="C8" s="19" t="s">
        <v>88</v>
      </c>
      <c r="D8" s="19" t="s">
        <v>83</v>
      </c>
      <c r="E8" s="19" t="s">
        <v>83</v>
      </c>
      <c r="F8" s="19" t="s">
        <v>88</v>
      </c>
      <c r="G8" s="19" t="s">
        <v>88</v>
      </c>
      <c r="H8" s="14" t="s">
        <v>89</v>
      </c>
    </row>
    <row r="11" customFormat="false" ht="15" hidden="false" customHeight="false" outlineLevel="0" collapsed="false">
      <c r="A11" s="3" t="s">
        <v>90</v>
      </c>
    </row>
    <row r="12" customFormat="false" ht="15" hidden="false" customHeight="false" outlineLevel="0" collapsed="false">
      <c r="A12" s="5" t="s">
        <v>19</v>
      </c>
      <c r="B12" s="5" t="s">
        <v>91</v>
      </c>
      <c r="C12" s="5" t="s">
        <v>92</v>
      </c>
      <c r="D12" s="5" t="s">
        <v>93</v>
      </c>
      <c r="E12" s="5" t="s">
        <v>94</v>
      </c>
      <c r="F12" s="5" t="s">
        <v>95</v>
      </c>
      <c r="G12" s="5"/>
      <c r="H12" s="5"/>
    </row>
    <row r="13" customFormat="false" ht="15" hidden="false" customHeight="false" outlineLevel="0" collapsed="false">
      <c r="A13" s="6" t="s">
        <v>32</v>
      </c>
      <c r="B13" s="9" t="n">
        <v>1000</v>
      </c>
      <c r="C13" s="9" t="n">
        <v>1000</v>
      </c>
      <c r="D13" s="9" t="n">
        <v>1000</v>
      </c>
      <c r="E13" s="20" t="n">
        <f aca="false">AVERAGE(B13:D13)</f>
        <v>1000</v>
      </c>
      <c r="F13" s="20" t="n">
        <f aca="false">STDEV(B13:D13)</f>
        <v>0</v>
      </c>
    </row>
    <row r="14" customFormat="false" ht="15" hidden="false" customHeight="false" outlineLevel="0" collapsed="false">
      <c r="A14" s="6" t="s">
        <v>33</v>
      </c>
      <c r="B14" s="9" t="n">
        <v>2500</v>
      </c>
      <c r="C14" s="9" t="n">
        <v>2000</v>
      </c>
      <c r="D14" s="9" t="n">
        <v>1500</v>
      </c>
      <c r="E14" s="20" t="n">
        <f aca="false">AVERAGE(B14:D14)</f>
        <v>2000</v>
      </c>
      <c r="F14" s="20" t="n">
        <f aca="false">STDEV(B14:D14)</f>
        <v>500</v>
      </c>
    </row>
    <row r="15" customFormat="false" ht="15" hidden="false" customHeight="false" outlineLevel="0" collapsed="false">
      <c r="A15" s="6" t="s">
        <v>34</v>
      </c>
      <c r="B15" s="9" t="n">
        <v>2000</v>
      </c>
      <c r="C15" s="9" t="n">
        <v>3000</v>
      </c>
      <c r="D15" s="9" t="n">
        <v>1500</v>
      </c>
      <c r="E15" s="20" t="n">
        <f aca="false">AVERAGE(B15:D15)</f>
        <v>2166.66666666667</v>
      </c>
      <c r="F15" s="20" t="n">
        <f aca="false">STDEV(B15:D15)</f>
        <v>763.762615825973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2" min="10" style="0" width="9"/>
    <col collapsed="false" customWidth="true" hidden="false" outlineLevel="0" max="13" min="13" style="0" width="15"/>
    <col collapsed="false" customWidth="true" hidden="false" outlineLevel="0" max="15" min="14" style="0" width="13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4" t="s">
        <v>97</v>
      </c>
    </row>
    <row r="4" customFormat="false" ht="23.85" hidden="false" customHeight="false" outlineLevel="0" collapsed="false">
      <c r="A4" s="5" t="s">
        <v>98</v>
      </c>
      <c r="B4" s="5" t="s">
        <v>99</v>
      </c>
      <c r="C4" s="5" t="s">
        <v>38</v>
      </c>
      <c r="D4" s="5" t="s">
        <v>39</v>
      </c>
      <c r="E4" s="5" t="s">
        <v>100</v>
      </c>
      <c r="F4" s="5" t="s">
        <v>101</v>
      </c>
      <c r="G4" s="5" t="s">
        <v>102</v>
      </c>
      <c r="H4" s="5" t="s">
        <v>103</v>
      </c>
      <c r="I4" s="5" t="s">
        <v>104</v>
      </c>
      <c r="J4" s="5" t="s">
        <v>91</v>
      </c>
      <c r="K4" s="5" t="s">
        <v>92</v>
      </c>
      <c r="L4" s="5" t="s">
        <v>93</v>
      </c>
      <c r="M4" s="5" t="s">
        <v>105</v>
      </c>
      <c r="N4" s="5" t="s">
        <v>106</v>
      </c>
      <c r="O4" s="5" t="s">
        <v>107</v>
      </c>
      <c r="P4" s="5" t="s">
        <v>108</v>
      </c>
    </row>
    <row r="5" customFormat="false" ht="15" hidden="false" customHeight="false" outlineLevel="0" collapsed="false">
      <c r="A5" s="6" t="s">
        <v>109</v>
      </c>
      <c r="B5" s="14" t="s">
        <v>110</v>
      </c>
      <c r="C5" s="14" t="s">
        <v>49</v>
      </c>
      <c r="D5" s="14" t="s">
        <v>50</v>
      </c>
      <c r="E5" s="11" t="n">
        <v>0.877</v>
      </c>
      <c r="F5" s="11" t="n">
        <v>0.213</v>
      </c>
      <c r="G5" s="11" t="n">
        <v>0.745</v>
      </c>
      <c r="H5" s="11" t="n">
        <v>0.442</v>
      </c>
      <c r="I5" s="13" t="n">
        <f aca="false">E5-G5</f>
        <v>0.132</v>
      </c>
      <c r="J5" s="21" t="n">
        <v>-0.37</v>
      </c>
      <c r="K5" s="21" t="n">
        <v>0</v>
      </c>
      <c r="L5" s="21" t="n">
        <v>0.765</v>
      </c>
      <c r="M5" s="14" t="str">
        <f aca="false">IF(AND(J5&gt;0,K5&gt;0,L5&gt;0),"yes (A better)",IF(AND(J5&lt;0,K5&lt;0,L5&lt;0),"yes (B better)","no"))</f>
        <v>no</v>
      </c>
      <c r="N5" s="22" t="n">
        <f aca="false">2*SQRT((F5^2+H5^2)/2)</f>
        <v>0.693877510804321</v>
      </c>
      <c r="O5" s="14" t="str">
        <f aca="false">IF(AND(ABS(I5)&gt;N5,LEFT(M5,3)="yes"),"significant","not significant")</f>
        <v>not significant</v>
      </c>
      <c r="P5" s="14" t="s">
        <v>111</v>
      </c>
    </row>
    <row r="6" customFormat="false" ht="15" hidden="false" customHeight="false" outlineLevel="0" collapsed="false">
      <c r="A6" s="6" t="s">
        <v>109</v>
      </c>
      <c r="B6" s="14" t="s">
        <v>110</v>
      </c>
      <c r="C6" s="14" t="s">
        <v>53</v>
      </c>
      <c r="D6" s="14" t="s">
        <v>50</v>
      </c>
      <c r="E6" s="11" t="n">
        <v>0.199</v>
      </c>
      <c r="F6" s="11" t="n">
        <v>0.084</v>
      </c>
      <c r="G6" s="11" t="n">
        <v>0.169</v>
      </c>
      <c r="H6" s="11" t="n">
        <v>0.077</v>
      </c>
      <c r="I6" s="13" t="n">
        <f aca="false">E6-G6</f>
        <v>0.03</v>
      </c>
      <c r="J6" s="21" t="n">
        <v>-0.081</v>
      </c>
      <c r="K6" s="21" t="n">
        <v>0.019</v>
      </c>
      <c r="L6" s="21" t="n">
        <v>0.151</v>
      </c>
      <c r="M6" s="14" t="str">
        <f aca="false">IF(AND(J6&gt;0,K6&gt;0,L6&gt;0),"yes (A better)",IF(AND(J6&lt;0,K6&lt;0,L6&lt;0),"yes (B better)","no"))</f>
        <v>no</v>
      </c>
      <c r="N6" s="22" t="n">
        <f aca="false">2*SQRT((F6^2+H6^2)/2)</f>
        <v>0.161152102065099</v>
      </c>
      <c r="O6" s="14" t="str">
        <f aca="false">IF(AND(ABS(I6)&gt;N6,LEFT(M6,3)="yes"),"significant","not significant")</f>
        <v>not significant</v>
      </c>
      <c r="P6" s="14" t="s">
        <v>112</v>
      </c>
    </row>
    <row r="7" customFormat="false" ht="15" hidden="false" customHeight="false" outlineLevel="0" collapsed="false">
      <c r="A7" s="6" t="s">
        <v>109</v>
      </c>
      <c r="B7" s="14" t="s">
        <v>110</v>
      </c>
      <c r="C7" s="14" t="s">
        <v>56</v>
      </c>
      <c r="D7" s="14" t="s">
        <v>50</v>
      </c>
      <c r="E7" s="11" t="n">
        <v>0.999</v>
      </c>
      <c r="F7" s="11" t="n">
        <v>0.001</v>
      </c>
      <c r="G7" s="11" t="n">
        <v>1</v>
      </c>
      <c r="H7" s="11" t="n">
        <v>0</v>
      </c>
      <c r="I7" s="13" t="n">
        <f aca="false">E7-G7</f>
        <v>-0.001</v>
      </c>
      <c r="J7" s="21" t="n">
        <v>-0.001</v>
      </c>
      <c r="K7" s="21" t="n">
        <v>-0.002</v>
      </c>
      <c r="L7" s="21" t="n">
        <v>0</v>
      </c>
      <c r="M7" s="14" t="str">
        <f aca="false">IF(AND(J7&gt;0,K7&gt;0,L7&gt;0),"yes (A better)",IF(AND(J7&lt;0,K7&lt;0,L7&lt;0),"yes (B better)","no"))</f>
        <v>no</v>
      </c>
      <c r="N7" s="22" t="n">
        <f aca="false">2*SQRT((F7^2+H7^2)/2)</f>
        <v>0.0014142135623731</v>
      </c>
      <c r="O7" s="14" t="str">
        <f aca="false">IF(AND(ABS(I7)&gt;N7,LEFT(M7,3)="yes"),"significant","not significant")</f>
        <v>not significant</v>
      </c>
      <c r="P7" s="14" t="s">
        <v>113</v>
      </c>
    </row>
    <row r="8" customFormat="false" ht="15" hidden="false" customHeight="false" outlineLevel="0" collapsed="false">
      <c r="A8" s="6" t="s">
        <v>109</v>
      </c>
      <c r="B8" s="14" t="s">
        <v>110</v>
      </c>
      <c r="C8" s="14" t="s">
        <v>59</v>
      </c>
      <c r="D8" s="14" t="s">
        <v>50</v>
      </c>
      <c r="E8" s="11" t="n">
        <v>0.201</v>
      </c>
      <c r="F8" s="11" t="n">
        <v>0.003</v>
      </c>
      <c r="G8" s="11" t="n">
        <v>0.201</v>
      </c>
      <c r="H8" s="11" t="n">
        <v>0.003</v>
      </c>
      <c r="I8" s="13" t="n">
        <f aca="false">E8-G8</f>
        <v>0</v>
      </c>
      <c r="J8" s="21" t="n">
        <v>-0.001</v>
      </c>
      <c r="K8" s="21" t="n">
        <v>0.002</v>
      </c>
      <c r="L8" s="21" t="n">
        <v>0.001</v>
      </c>
      <c r="M8" s="14" t="str">
        <f aca="false">IF(AND(J8&gt;0,K8&gt;0,L8&gt;0),"yes (A better)",IF(AND(J8&lt;0,K8&lt;0,L8&lt;0),"yes (B better)","no"))</f>
        <v>no</v>
      </c>
      <c r="N8" s="22" t="n">
        <f aca="false">2*SQRT((F8^2+H8^2)/2)</f>
        <v>0.006</v>
      </c>
      <c r="O8" s="14" t="str">
        <f aca="false">IF(AND(ABS(I8)&gt;N8,LEFT(M8,3)="yes"),"significant","not significant")</f>
        <v>not significant</v>
      </c>
      <c r="P8" s="14" t="s">
        <v>111</v>
      </c>
    </row>
    <row r="9" customFormat="false" ht="15" hidden="false" customHeight="false" outlineLevel="0" collapsed="false">
      <c r="A9" s="6" t="s">
        <v>109</v>
      </c>
      <c r="B9" s="14" t="s">
        <v>110</v>
      </c>
      <c r="C9" s="14" t="s">
        <v>49</v>
      </c>
      <c r="D9" s="15" t="s">
        <v>52</v>
      </c>
      <c r="E9" s="11" t="n">
        <v>0.398</v>
      </c>
      <c r="F9" s="11" t="n">
        <v>0.264</v>
      </c>
      <c r="G9" s="11" t="n">
        <v>0.435</v>
      </c>
      <c r="H9" s="11" t="n">
        <v>0.341</v>
      </c>
      <c r="I9" s="13" t="n">
        <f aca="false">E9-G9</f>
        <v>-0.037</v>
      </c>
      <c r="J9" s="21" t="n">
        <v>-0.527</v>
      </c>
      <c r="K9" s="21" t="n">
        <v>-0.014</v>
      </c>
      <c r="L9" s="21" t="n">
        <v>0.428</v>
      </c>
      <c r="M9" s="14" t="str">
        <f aca="false">IF(AND(J9&gt;0,K9&gt;0,L9&gt;0),"yes (A better)",IF(AND(J9&lt;0,K9&lt;0,L9&lt;0),"yes (B better)","no"))</f>
        <v>no</v>
      </c>
      <c r="N9" s="22" t="n">
        <f aca="false">2*SQRT((F9^2+H9^2)/2)</f>
        <v>0.609880316127681</v>
      </c>
      <c r="O9" s="14" t="str">
        <f aca="false">IF(AND(ABS(I9)&gt;N9,LEFT(M9,3)="yes"),"significant","not significant")</f>
        <v>not significant</v>
      </c>
      <c r="P9" s="14" t="s">
        <v>111</v>
      </c>
    </row>
    <row r="10" customFormat="false" ht="15" hidden="false" customHeight="false" outlineLevel="0" collapsed="false">
      <c r="A10" s="6" t="s">
        <v>109</v>
      </c>
      <c r="B10" s="14" t="s">
        <v>110</v>
      </c>
      <c r="C10" s="14" t="s">
        <v>53</v>
      </c>
      <c r="D10" s="15" t="s">
        <v>52</v>
      </c>
      <c r="E10" s="11" t="n">
        <v>0.097</v>
      </c>
      <c r="F10" s="11" t="n">
        <v>0.016</v>
      </c>
      <c r="G10" s="11" t="n">
        <v>0.09</v>
      </c>
      <c r="H10" s="11" t="n">
        <v>0.005</v>
      </c>
      <c r="I10" s="13" t="n">
        <f aca="false">E10-G10</f>
        <v>0.00700000000000001</v>
      </c>
      <c r="J10" s="21" t="n">
        <v>0.001</v>
      </c>
      <c r="K10" s="21" t="n">
        <v>0.023</v>
      </c>
      <c r="L10" s="21" t="n">
        <v>-0.001</v>
      </c>
      <c r="M10" s="14" t="str">
        <f aca="false">IF(AND(J10&gt;0,K10&gt;0,L10&gt;0),"yes (A better)",IF(AND(J10&lt;0,K10&lt;0,L10&lt;0),"yes (B better)","no"))</f>
        <v>no</v>
      </c>
      <c r="N10" s="22" t="n">
        <f aca="false">2*SQRT((F10^2+H10^2)/2)</f>
        <v>0.0237065391822594</v>
      </c>
      <c r="O10" s="14" t="str">
        <f aca="false">IF(AND(ABS(I10)&gt;N10,LEFT(M10,3)="yes"),"significant","not significant")</f>
        <v>not significant</v>
      </c>
      <c r="P10" s="14" t="s">
        <v>112</v>
      </c>
    </row>
    <row r="11" customFormat="false" ht="15" hidden="false" customHeight="false" outlineLevel="0" collapsed="false">
      <c r="A11" s="6" t="s">
        <v>109</v>
      </c>
      <c r="B11" s="14" t="s">
        <v>110</v>
      </c>
      <c r="C11" s="14" t="s">
        <v>56</v>
      </c>
      <c r="D11" s="15" t="s">
        <v>52</v>
      </c>
      <c r="E11" s="11" t="n">
        <v>0</v>
      </c>
      <c r="F11" s="11" t="n">
        <v>0</v>
      </c>
      <c r="G11" s="11" t="n">
        <v>0</v>
      </c>
      <c r="H11" s="11" t="n">
        <v>0</v>
      </c>
      <c r="I11" s="13" t="n">
        <f aca="false">E11-G11</f>
        <v>0</v>
      </c>
      <c r="J11" s="21" t="n">
        <v>0</v>
      </c>
      <c r="K11" s="21" t="n">
        <v>0</v>
      </c>
      <c r="L11" s="21" t="n">
        <v>0</v>
      </c>
      <c r="M11" s="14" t="str">
        <f aca="false">IF(AND(J11&gt;0,K11&gt;0,L11&gt;0),"yes (A better)",IF(AND(J11&lt;0,K11&lt;0,L11&lt;0),"yes (B better)","no"))</f>
        <v>no</v>
      </c>
      <c r="N11" s="22" t="n">
        <f aca="false">2*SQRT((F11^2+H11^2)/2)</f>
        <v>0</v>
      </c>
      <c r="O11" s="14" t="str">
        <f aca="false">IF(AND(ABS(I11)&gt;N11,LEFT(M11,3)="yes"),"significant","not significant")</f>
        <v>not significant</v>
      </c>
      <c r="P11" s="14" t="s">
        <v>111</v>
      </c>
    </row>
    <row r="12" customFormat="false" ht="15" hidden="false" customHeight="false" outlineLevel="0" collapsed="false">
      <c r="A12" s="6" t="s">
        <v>109</v>
      </c>
      <c r="B12" s="14" t="s">
        <v>110</v>
      </c>
      <c r="C12" s="14" t="s">
        <v>59</v>
      </c>
      <c r="D12" s="15" t="s">
        <v>52</v>
      </c>
      <c r="E12" s="11" t="n">
        <v>0.194</v>
      </c>
      <c r="F12" s="11" t="n">
        <v>0.013</v>
      </c>
      <c r="G12" s="11" t="n">
        <v>0.205</v>
      </c>
      <c r="H12" s="11" t="n">
        <v>0.014</v>
      </c>
      <c r="I12" s="13" t="n">
        <f aca="false">E12-G12</f>
        <v>-0.011</v>
      </c>
      <c r="J12" s="21" t="n">
        <v>0.004</v>
      </c>
      <c r="K12" s="21" t="n">
        <v>-0.03</v>
      </c>
      <c r="L12" s="21" t="n">
        <v>-0.005</v>
      </c>
      <c r="M12" s="14" t="str">
        <f aca="false">IF(AND(J12&gt;0,K12&gt;0,L12&gt;0),"yes (A better)",IF(AND(J12&lt;0,K12&lt;0,L12&lt;0),"yes (B better)","no"))</f>
        <v>no</v>
      </c>
      <c r="N12" s="22" t="n">
        <f aca="false">2*SQRT((F12^2+H12^2)/2)</f>
        <v>0.0270185121722126</v>
      </c>
      <c r="O12" s="14" t="str">
        <f aca="false">IF(AND(ABS(I12)&gt;N12,LEFT(M12,3)="yes"),"significant","not significant")</f>
        <v>not significant</v>
      </c>
      <c r="P12" s="14" t="s">
        <v>111</v>
      </c>
    </row>
    <row r="13" customFormat="false" ht="15" hidden="false" customHeight="false" outlineLevel="0" collapsed="false">
      <c r="A13" s="6" t="s">
        <v>109</v>
      </c>
      <c r="B13" s="14" t="s">
        <v>110</v>
      </c>
      <c r="C13" s="14" t="s">
        <v>61</v>
      </c>
      <c r="D13" s="14" t="s">
        <v>50</v>
      </c>
      <c r="E13" s="11" t="n">
        <v>0.569</v>
      </c>
      <c r="F13" s="11" t="n">
        <v>0.075</v>
      </c>
      <c r="G13" s="11" t="n">
        <v>0.529</v>
      </c>
      <c r="H13" s="11" t="n">
        <v>0.128</v>
      </c>
      <c r="I13" s="13" t="n">
        <f aca="false">E13-G13</f>
        <v>0.0399999999999999</v>
      </c>
      <c r="J13" s="21" t="n">
        <v>-0.113</v>
      </c>
      <c r="K13" s="21" t="n">
        <v>0.005</v>
      </c>
      <c r="L13" s="21" t="n">
        <v>0.229</v>
      </c>
      <c r="M13" s="14" t="str">
        <f aca="false">IF(AND(J13&gt;0,K13&gt;0,L13&gt;0),"yes (A better)",IF(AND(J13&lt;0,K13&lt;0,L13&lt;0),"yes (B better)","no"))</f>
        <v>no</v>
      </c>
      <c r="N13" s="22" t="n">
        <f aca="false">2*SQRT((F13^2+H13^2)/2)</f>
        <v>0.209804671063349</v>
      </c>
      <c r="O13" s="14" t="str">
        <f aca="false">IF(AND(ABS(I13)&gt;N13,LEFT(M13,3)="yes"),"significant","not significant")</f>
        <v>not significant</v>
      </c>
      <c r="P13" s="14" t="s">
        <v>111</v>
      </c>
    </row>
    <row r="14" customFormat="false" ht="15" hidden="false" customHeight="false" outlineLevel="0" collapsed="false">
      <c r="A14" s="6" t="s">
        <v>109</v>
      </c>
      <c r="B14" s="14" t="s">
        <v>110</v>
      </c>
      <c r="C14" s="14" t="s">
        <v>61</v>
      </c>
      <c r="D14" s="15" t="s">
        <v>52</v>
      </c>
      <c r="E14" s="11" t="n">
        <v>0.172</v>
      </c>
      <c r="F14" s="11" t="n">
        <v>0.067</v>
      </c>
      <c r="G14" s="11" t="n">
        <v>0.182</v>
      </c>
      <c r="H14" s="11" t="n">
        <v>0.085</v>
      </c>
      <c r="I14" s="13" t="n">
        <f aca="false">E14-G14</f>
        <v>-0.01</v>
      </c>
      <c r="J14" s="21" t="n">
        <v>-0.131</v>
      </c>
      <c r="K14" s="21" t="n">
        <v>-0.005</v>
      </c>
      <c r="L14" s="21" t="n">
        <v>0.105</v>
      </c>
      <c r="M14" s="14" t="str">
        <f aca="false">IF(AND(J14&gt;0,K14&gt;0,L14&gt;0),"yes (A better)",IF(AND(J14&lt;0,K14&lt;0,L14&lt;0),"yes (B better)","no"))</f>
        <v>no</v>
      </c>
      <c r="N14" s="22" t="n">
        <f aca="false">2*SQRT((F14^2+H14^2)/2)</f>
        <v>0.15306207890918</v>
      </c>
      <c r="O14" s="14" t="str">
        <f aca="false">IF(AND(ABS(I14)&gt;N14,LEFT(M14,3)="yes"),"significant","not significant")</f>
        <v>not significant</v>
      </c>
      <c r="P14" s="14" t="s">
        <v>111</v>
      </c>
    </row>
    <row r="15" customFormat="false" ht="15" hidden="false" customHeight="false" outlineLevel="0" collapsed="false">
      <c r="A15" s="6" t="s">
        <v>114</v>
      </c>
      <c r="B15" s="14" t="s">
        <v>110</v>
      </c>
      <c r="C15" s="14" t="s">
        <v>49</v>
      </c>
      <c r="D15" s="14" t="s">
        <v>50</v>
      </c>
      <c r="E15" s="11" t="n">
        <v>0.734</v>
      </c>
      <c r="F15" s="11" t="n">
        <v>0.454</v>
      </c>
      <c r="G15" s="11" t="n">
        <v>0.745</v>
      </c>
      <c r="H15" s="11" t="n">
        <v>0.442</v>
      </c>
      <c r="I15" s="13" t="n">
        <f aca="false">E15-G15</f>
        <v>-0.011</v>
      </c>
      <c r="J15" s="21" t="n">
        <v>-0.79</v>
      </c>
      <c r="K15" s="21" t="n">
        <v>-0.007</v>
      </c>
      <c r="L15" s="21" t="n">
        <v>0.764</v>
      </c>
      <c r="M15" s="14" t="str">
        <f aca="false">IF(AND(J15&gt;0,K15&gt;0,L15&gt;0),"yes (A better)",IF(AND(J15&lt;0,K15&lt;0,L15&lt;0),"yes (B better)","no"))</f>
        <v>no</v>
      </c>
      <c r="N15" s="22" t="n">
        <f aca="false">2*SQRT((F15^2+H15^2)/2)</f>
        <v>0.896080353539793</v>
      </c>
      <c r="O15" s="14" t="str">
        <f aca="false">IF(AND(ABS(I15)&gt;N15,LEFT(M15,3)="yes"),"significant","not significant")</f>
        <v>not significant</v>
      </c>
      <c r="P15" s="14" t="s">
        <v>111</v>
      </c>
    </row>
    <row r="16" customFormat="false" ht="15" hidden="false" customHeight="false" outlineLevel="0" collapsed="false">
      <c r="A16" s="6" t="s">
        <v>114</v>
      </c>
      <c r="B16" s="14" t="s">
        <v>110</v>
      </c>
      <c r="C16" s="14" t="s">
        <v>53</v>
      </c>
      <c r="D16" s="14" t="s">
        <v>50</v>
      </c>
      <c r="E16" s="11" t="n">
        <v>0.184</v>
      </c>
      <c r="F16" s="11" t="n">
        <v>0.08</v>
      </c>
      <c r="G16" s="11" t="n">
        <v>0.169</v>
      </c>
      <c r="H16" s="11" t="n">
        <v>0.077</v>
      </c>
      <c r="I16" s="13" t="n">
        <f aca="false">E16-G16</f>
        <v>0.015</v>
      </c>
      <c r="J16" s="21" t="n">
        <v>-0.082</v>
      </c>
      <c r="K16" s="21" t="n">
        <v>-0.048</v>
      </c>
      <c r="L16" s="21" t="n">
        <v>0.175</v>
      </c>
      <c r="M16" s="14" t="str">
        <f aca="false">IF(AND(J16&gt;0,K16&gt;0,L16&gt;0),"yes (A better)",IF(AND(J16&lt;0,K16&lt;0,L16&lt;0),"yes (B better)","no"))</f>
        <v>no</v>
      </c>
      <c r="N16" s="22" t="n">
        <f aca="false">2*SQRT((F16^2+H16^2)/2)</f>
        <v>0.157028659804508</v>
      </c>
      <c r="O16" s="14" t="str">
        <f aca="false">IF(AND(ABS(I16)&gt;N16,LEFT(M16,3)="yes"),"significant","not significant")</f>
        <v>not significant</v>
      </c>
      <c r="P16" s="14" t="s">
        <v>112</v>
      </c>
    </row>
    <row r="17" customFormat="false" ht="15" hidden="false" customHeight="false" outlineLevel="0" collapsed="false">
      <c r="A17" s="6" t="s">
        <v>114</v>
      </c>
      <c r="B17" s="14" t="s">
        <v>110</v>
      </c>
      <c r="C17" s="14" t="s">
        <v>56</v>
      </c>
      <c r="D17" s="14" t="s">
        <v>50</v>
      </c>
      <c r="E17" s="11" t="n">
        <v>1</v>
      </c>
      <c r="F17" s="11" t="n">
        <v>0</v>
      </c>
      <c r="G17" s="11" t="n">
        <v>1</v>
      </c>
      <c r="H17" s="11" t="n">
        <v>0</v>
      </c>
      <c r="I17" s="13" t="n">
        <f aca="false">E17-G17</f>
        <v>0</v>
      </c>
      <c r="J17" s="21" t="n">
        <v>0</v>
      </c>
      <c r="K17" s="21" t="n">
        <v>0</v>
      </c>
      <c r="L17" s="21" t="n">
        <v>0</v>
      </c>
      <c r="M17" s="14" t="str">
        <f aca="false">IF(AND(J17&gt;0,K17&gt;0,L17&gt;0),"yes (A better)",IF(AND(J17&lt;0,K17&lt;0,L17&lt;0),"yes (B better)","no"))</f>
        <v>no</v>
      </c>
      <c r="N17" s="22" t="n">
        <f aca="false">2*SQRT((F17^2+H17^2)/2)</f>
        <v>0</v>
      </c>
      <c r="O17" s="14" t="str">
        <f aca="false">IF(AND(ABS(I17)&gt;N17,LEFT(M17,3)="yes"),"significant","not significant")</f>
        <v>not significant</v>
      </c>
      <c r="P17" s="14" t="s">
        <v>113</v>
      </c>
    </row>
    <row r="18" customFormat="false" ht="15" hidden="false" customHeight="false" outlineLevel="0" collapsed="false">
      <c r="A18" s="6" t="s">
        <v>114</v>
      </c>
      <c r="B18" s="14" t="s">
        <v>110</v>
      </c>
      <c r="C18" s="14" t="s">
        <v>59</v>
      </c>
      <c r="D18" s="14" t="s">
        <v>50</v>
      </c>
      <c r="E18" s="11" t="n">
        <v>0.261</v>
      </c>
      <c r="F18" s="11" t="n">
        <v>0.105</v>
      </c>
      <c r="G18" s="11" t="n">
        <v>0.201</v>
      </c>
      <c r="H18" s="11" t="n">
        <v>0.003</v>
      </c>
      <c r="I18" s="13" t="n">
        <f aca="false">E18-G18</f>
        <v>0.06</v>
      </c>
      <c r="J18" s="21" t="n">
        <v>0.181</v>
      </c>
      <c r="K18" s="21" t="n">
        <v>-0.007</v>
      </c>
      <c r="L18" s="21" t="n">
        <v>0.006</v>
      </c>
      <c r="M18" s="14" t="str">
        <f aca="false">IF(AND(J18&gt;0,K18&gt;0,L18&gt;0),"yes (A better)",IF(AND(J18&lt;0,K18&lt;0,L18&lt;0),"yes (B better)","no"))</f>
        <v>no</v>
      </c>
      <c r="N18" s="22" t="n">
        <f aca="false">2*SQRT((F18^2+H18^2)/2)</f>
        <v>0.148553020837679</v>
      </c>
      <c r="O18" s="14" t="str">
        <f aca="false">IF(AND(ABS(I18)&gt;N18,LEFT(M18,3)="yes"),"significant","not significant")</f>
        <v>not significant</v>
      </c>
      <c r="P18" s="14" t="s">
        <v>111</v>
      </c>
    </row>
    <row r="19" customFormat="false" ht="15" hidden="false" customHeight="false" outlineLevel="0" collapsed="false">
      <c r="A19" s="6" t="s">
        <v>114</v>
      </c>
      <c r="B19" s="14" t="s">
        <v>110</v>
      </c>
      <c r="C19" s="14" t="s">
        <v>49</v>
      </c>
      <c r="D19" s="15" t="s">
        <v>52</v>
      </c>
      <c r="E19" s="11" t="n">
        <v>0.317</v>
      </c>
      <c r="F19" s="11" t="n">
        <v>0.254</v>
      </c>
      <c r="G19" s="11" t="n">
        <v>0.435</v>
      </c>
      <c r="H19" s="11" t="n">
        <v>0.341</v>
      </c>
      <c r="I19" s="13" t="n">
        <f aca="false">E19-G19</f>
        <v>-0.118</v>
      </c>
      <c r="J19" s="21" t="n">
        <v>-0.594</v>
      </c>
      <c r="K19" s="21" t="n">
        <v>-0.094</v>
      </c>
      <c r="L19" s="21" t="n">
        <v>0.332</v>
      </c>
      <c r="M19" s="14" t="str">
        <f aca="false">IF(AND(J19&gt;0,K19&gt;0,L19&gt;0),"yes (A better)",IF(AND(J19&lt;0,K19&lt;0,L19&lt;0),"yes (B better)","no"))</f>
        <v>no</v>
      </c>
      <c r="N19" s="22" t="n">
        <f aca="false">2*SQRT((F19^2+H19^2)/2)</f>
        <v>0.601326866188432</v>
      </c>
      <c r="O19" s="14" t="str">
        <f aca="false">IF(AND(ABS(I19)&gt;N19,LEFT(M19,3)="yes"),"significant","not significant")</f>
        <v>not significant</v>
      </c>
      <c r="P19" s="14" t="s">
        <v>111</v>
      </c>
    </row>
    <row r="20" customFormat="false" ht="15" hidden="false" customHeight="false" outlineLevel="0" collapsed="false">
      <c r="A20" s="6" t="s">
        <v>114</v>
      </c>
      <c r="B20" s="14" t="s">
        <v>110</v>
      </c>
      <c r="C20" s="14" t="s">
        <v>53</v>
      </c>
      <c r="D20" s="15" t="s">
        <v>52</v>
      </c>
      <c r="E20" s="11" t="n">
        <v>0.094</v>
      </c>
      <c r="F20" s="11" t="n">
        <v>0.012</v>
      </c>
      <c r="G20" s="11" t="n">
        <v>0.09</v>
      </c>
      <c r="H20" s="11" t="n">
        <v>0.005</v>
      </c>
      <c r="I20" s="13" t="n">
        <f aca="false">E20-G20</f>
        <v>0.004</v>
      </c>
      <c r="J20" s="21" t="n">
        <v>-0.003</v>
      </c>
      <c r="K20" s="21" t="n">
        <v>-0.006</v>
      </c>
      <c r="L20" s="21" t="n">
        <v>0.023</v>
      </c>
      <c r="M20" s="14" t="str">
        <f aca="false">IF(AND(J20&gt;0,K20&gt;0,L20&gt;0),"yes (A better)",IF(AND(J20&lt;0,K20&lt;0,L20&lt;0),"yes (B better)","no"))</f>
        <v>no</v>
      </c>
      <c r="N20" s="22" t="n">
        <f aca="false">2*SQRT((F20^2+H20^2)/2)</f>
        <v>0.0183847763108502</v>
      </c>
      <c r="O20" s="14" t="str">
        <f aca="false">IF(AND(ABS(I20)&gt;N20,LEFT(M20,3)="yes"),"significant","not significant")</f>
        <v>not significant</v>
      </c>
      <c r="P20" s="14" t="s">
        <v>112</v>
      </c>
    </row>
    <row r="21" customFormat="false" ht="15" hidden="false" customHeight="false" outlineLevel="0" collapsed="false">
      <c r="A21" s="6" t="s">
        <v>114</v>
      </c>
      <c r="B21" s="14" t="s">
        <v>110</v>
      </c>
      <c r="C21" s="14" t="s">
        <v>56</v>
      </c>
      <c r="D21" s="15" t="s">
        <v>52</v>
      </c>
      <c r="E21" s="11" t="n">
        <v>0</v>
      </c>
      <c r="F21" s="11" t="n">
        <v>0</v>
      </c>
      <c r="G21" s="11" t="n">
        <v>0</v>
      </c>
      <c r="H21" s="11" t="n">
        <v>0</v>
      </c>
      <c r="I21" s="13" t="n">
        <f aca="false">E21-G21</f>
        <v>0</v>
      </c>
      <c r="J21" s="21" t="n">
        <v>0</v>
      </c>
      <c r="K21" s="21" t="n">
        <v>0</v>
      </c>
      <c r="L21" s="21" t="n">
        <v>0</v>
      </c>
      <c r="M21" s="14" t="str">
        <f aca="false">IF(AND(J21&gt;0,K21&gt;0,L21&gt;0),"yes (A better)",IF(AND(J21&lt;0,K21&lt;0,L21&lt;0),"yes (B better)","no"))</f>
        <v>no</v>
      </c>
      <c r="N21" s="22" t="n">
        <f aca="false">2*SQRT((F21^2+H21^2)/2)</f>
        <v>0</v>
      </c>
      <c r="O21" s="14" t="str">
        <f aca="false">IF(AND(ABS(I21)&gt;N21,LEFT(M21,3)="yes"),"significant","not significant")</f>
        <v>not significant</v>
      </c>
      <c r="P21" s="14" t="s">
        <v>111</v>
      </c>
    </row>
    <row r="22" customFormat="false" ht="15" hidden="false" customHeight="false" outlineLevel="0" collapsed="false">
      <c r="A22" s="6" t="s">
        <v>114</v>
      </c>
      <c r="B22" s="14" t="s">
        <v>110</v>
      </c>
      <c r="C22" s="14" t="s">
        <v>59</v>
      </c>
      <c r="D22" s="15" t="s">
        <v>52</v>
      </c>
      <c r="E22" s="11" t="n">
        <v>0.196</v>
      </c>
      <c r="F22" s="11" t="n">
        <v>0.006</v>
      </c>
      <c r="G22" s="11" t="n">
        <v>0.205</v>
      </c>
      <c r="H22" s="11" t="n">
        <v>0.014</v>
      </c>
      <c r="I22" s="13" t="n">
        <f aca="false">E22-G22</f>
        <v>-0.00899999999999998</v>
      </c>
      <c r="J22" s="21" t="n">
        <v>0.001</v>
      </c>
      <c r="K22" s="21" t="n">
        <v>-0.014</v>
      </c>
      <c r="L22" s="21" t="n">
        <v>-0.014</v>
      </c>
      <c r="M22" s="14" t="str">
        <f aca="false">IF(AND(J22&gt;0,K22&gt;0,L22&gt;0),"yes (A better)",IF(AND(J22&lt;0,K22&lt;0,L22&lt;0),"yes (B better)","no"))</f>
        <v>no</v>
      </c>
      <c r="N22" s="22" t="n">
        <f aca="false">2*SQRT((F22^2+H22^2)/2)</f>
        <v>0.021540659228538</v>
      </c>
      <c r="O22" s="14" t="str">
        <f aca="false">IF(AND(ABS(I22)&gt;N22,LEFT(M22,3)="yes"),"significant","not significant")</f>
        <v>not significant</v>
      </c>
      <c r="P22" s="14" t="s">
        <v>111</v>
      </c>
    </row>
    <row r="23" customFormat="false" ht="15" hidden="false" customHeight="false" outlineLevel="0" collapsed="false">
      <c r="A23" s="6" t="s">
        <v>114</v>
      </c>
      <c r="B23" s="14" t="s">
        <v>110</v>
      </c>
      <c r="C23" s="14" t="s">
        <v>61</v>
      </c>
      <c r="D23" s="14" t="s">
        <v>50</v>
      </c>
      <c r="E23" s="11" t="n">
        <v>0.545</v>
      </c>
      <c r="F23" s="11" t="n">
        <v>0.106</v>
      </c>
      <c r="G23" s="11" t="n">
        <v>0.529</v>
      </c>
      <c r="H23" s="11" t="n">
        <v>0.128</v>
      </c>
      <c r="I23" s="13" t="n">
        <f aca="false">E23-G23</f>
        <v>0.016</v>
      </c>
      <c r="J23" s="21" t="n">
        <v>-0.173</v>
      </c>
      <c r="K23" s="21" t="n">
        <v>-0.016</v>
      </c>
      <c r="L23" s="21" t="n">
        <v>0.236</v>
      </c>
      <c r="M23" s="14" t="str">
        <f aca="false">IF(AND(J23&gt;0,K23&gt;0,L23&gt;0),"yes (A better)",IF(AND(J23&lt;0,K23&lt;0,L23&lt;0),"yes (B better)","no"))</f>
        <v>no</v>
      </c>
      <c r="N23" s="22" t="n">
        <f aca="false">2*SQRT((F23^2+H23^2)/2)</f>
        <v>0.235031912726761</v>
      </c>
      <c r="O23" s="14" t="str">
        <f aca="false">IF(AND(ABS(I23)&gt;N23,LEFT(M23,3)="yes"),"significant","not significant")</f>
        <v>not significant</v>
      </c>
      <c r="P23" s="14" t="s">
        <v>111</v>
      </c>
    </row>
    <row r="24" customFormat="false" ht="15" hidden="false" customHeight="false" outlineLevel="0" collapsed="false">
      <c r="A24" s="6" t="s">
        <v>114</v>
      </c>
      <c r="B24" s="14" t="s">
        <v>110</v>
      </c>
      <c r="C24" s="14" t="s">
        <v>61</v>
      </c>
      <c r="D24" s="15" t="s">
        <v>52</v>
      </c>
      <c r="E24" s="11" t="n">
        <v>0.152</v>
      </c>
      <c r="F24" s="11" t="n">
        <v>0.065</v>
      </c>
      <c r="G24" s="11" t="n">
        <v>0.182</v>
      </c>
      <c r="H24" s="11" t="n">
        <v>0.085</v>
      </c>
      <c r="I24" s="13" t="n">
        <f aca="false">E24-G24</f>
        <v>-0.03</v>
      </c>
      <c r="J24" s="21" t="n">
        <v>-0.149</v>
      </c>
      <c r="K24" s="21" t="n">
        <v>-0.028</v>
      </c>
      <c r="L24" s="21" t="n">
        <v>0.085</v>
      </c>
      <c r="M24" s="14" t="str">
        <f aca="false">IF(AND(J24&gt;0,K24&gt;0,L24&gt;0),"yes (A better)",IF(AND(J24&lt;0,K24&lt;0,L24&lt;0),"yes (B better)","no"))</f>
        <v>no</v>
      </c>
      <c r="N24" s="22" t="n">
        <f aca="false">2*SQRT((F24^2+H24^2)/2)</f>
        <v>0.151327459504216</v>
      </c>
      <c r="O24" s="14" t="str">
        <f aca="false">IF(AND(ABS(I24)&gt;N24,LEFT(M24,3)="yes"),"significant","not significant")</f>
        <v>not significant</v>
      </c>
      <c r="P24" s="14" t="s">
        <v>111</v>
      </c>
    </row>
    <row r="26" customFormat="false" ht="15" hidden="false" customHeight="false" outlineLevel="0" collapsed="false">
      <c r="A26" s="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4" t="s">
        <v>117</v>
      </c>
    </row>
    <row r="4" customFormat="false" ht="15" hidden="false" customHeight="false" outlineLevel="0" collapsed="false">
      <c r="A4" s="5" t="s">
        <v>38</v>
      </c>
      <c r="B4" s="5" t="s">
        <v>39</v>
      </c>
      <c r="C4" s="5" t="s">
        <v>40</v>
      </c>
      <c r="D4" s="5" t="s">
        <v>41</v>
      </c>
      <c r="E4" s="5" t="s">
        <v>118</v>
      </c>
      <c r="F4" s="5" t="s">
        <v>119</v>
      </c>
      <c r="G4" s="5" t="s">
        <v>120</v>
      </c>
      <c r="H4" s="5" t="s">
        <v>121</v>
      </c>
      <c r="I4" s="5" t="s">
        <v>42</v>
      </c>
      <c r="J4" s="5" t="s">
        <v>43</v>
      </c>
    </row>
    <row r="5" customFormat="false" ht="15" hidden="false" customHeight="false" outlineLevel="0" collapsed="false">
      <c r="A5" s="6" t="s">
        <v>49</v>
      </c>
      <c r="B5" s="14" t="s">
        <v>50</v>
      </c>
      <c r="C5" s="11" t="n">
        <v>0.242</v>
      </c>
      <c r="D5" s="11" t="n">
        <v>0.078</v>
      </c>
      <c r="E5" s="11" t="n">
        <v>0.412</v>
      </c>
      <c r="F5" s="11" t="n">
        <v>0.515</v>
      </c>
      <c r="G5" s="11" t="n">
        <v>0.248</v>
      </c>
      <c r="H5" s="11" t="n">
        <v>0.072</v>
      </c>
      <c r="I5" s="11" t="n">
        <v>0.326</v>
      </c>
      <c r="J5" s="11" t="n">
        <v>0.033</v>
      </c>
    </row>
    <row r="6" customFormat="false" ht="15" hidden="false" customHeight="false" outlineLevel="0" collapsed="false">
      <c r="A6" s="6" t="s">
        <v>49</v>
      </c>
      <c r="B6" s="15" t="s">
        <v>52</v>
      </c>
      <c r="C6" s="11" t="n">
        <v>0.036</v>
      </c>
      <c r="D6" s="11" t="n">
        <v>0.005</v>
      </c>
      <c r="E6" s="11" t="n">
        <v>0.217</v>
      </c>
      <c r="F6" s="11" t="n">
        <v>0.324</v>
      </c>
      <c r="G6" s="11" t="n">
        <v>0.054</v>
      </c>
      <c r="H6" s="11" t="n">
        <v>0.017</v>
      </c>
      <c r="I6" s="11" t="n">
        <v>0.051</v>
      </c>
      <c r="J6" s="11" t="n">
        <v>0.012</v>
      </c>
    </row>
    <row r="7" customFormat="false" ht="15" hidden="false" customHeight="false" outlineLevel="0" collapsed="false">
      <c r="A7" s="6" t="s">
        <v>53</v>
      </c>
      <c r="B7" s="14" t="s">
        <v>50</v>
      </c>
      <c r="C7" s="11" t="n">
        <v>0.094</v>
      </c>
      <c r="D7" s="11" t="n">
        <v>0.008</v>
      </c>
      <c r="E7" s="11" t="n">
        <v>0.113</v>
      </c>
      <c r="F7" s="11" t="n">
        <v>0.093</v>
      </c>
      <c r="G7" s="11" t="n">
        <v>0.091</v>
      </c>
      <c r="H7" s="11" t="n">
        <v>0.001</v>
      </c>
      <c r="I7" s="11" t="n">
        <v>0.099</v>
      </c>
      <c r="J7" s="11" t="n">
        <v>0.004</v>
      </c>
    </row>
    <row r="8" customFormat="false" ht="15" hidden="false" customHeight="false" outlineLevel="0" collapsed="false">
      <c r="A8" s="6" t="s">
        <v>53</v>
      </c>
      <c r="B8" s="15" t="s">
        <v>52</v>
      </c>
      <c r="C8" s="11" t="n">
        <v>0.092</v>
      </c>
      <c r="D8" s="11" t="n">
        <v>0.008</v>
      </c>
      <c r="E8" s="11" t="n">
        <v>0.072</v>
      </c>
      <c r="F8" s="11" t="n">
        <v>0.013</v>
      </c>
      <c r="G8" s="11" t="n">
        <v>0.087</v>
      </c>
      <c r="H8" s="11" t="n">
        <v>0.008</v>
      </c>
      <c r="I8" s="11" t="n">
        <v>0.091</v>
      </c>
      <c r="J8" s="11" t="n">
        <v>0.003</v>
      </c>
    </row>
    <row r="9" customFormat="false" ht="15" hidden="false" customHeight="false" outlineLevel="0" collapsed="false">
      <c r="A9" s="6" t="s">
        <v>56</v>
      </c>
      <c r="B9" s="14" t="s">
        <v>50</v>
      </c>
      <c r="C9" s="11" t="n">
        <v>1</v>
      </c>
      <c r="D9" s="11" t="n">
        <v>0</v>
      </c>
      <c r="E9" s="11" t="n">
        <v>0.334</v>
      </c>
      <c r="F9" s="11" t="n">
        <v>0.573</v>
      </c>
      <c r="G9" s="11" t="n">
        <v>0.96</v>
      </c>
      <c r="H9" s="11" t="n">
        <v>0.061</v>
      </c>
      <c r="I9" s="11" t="n">
        <v>0.998</v>
      </c>
      <c r="J9" s="11" t="n">
        <v>0.002</v>
      </c>
    </row>
    <row r="10" customFormat="false" ht="15" hidden="false" customHeight="false" outlineLevel="0" collapsed="false">
      <c r="A10" s="6" t="s">
        <v>56</v>
      </c>
      <c r="B10" s="15" t="s">
        <v>52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</row>
    <row r="11" customFormat="false" ht="15" hidden="false" customHeight="false" outlineLevel="0" collapsed="false">
      <c r="A11" s="6" t="s">
        <v>59</v>
      </c>
      <c r="B11" s="14" t="s">
        <v>50</v>
      </c>
      <c r="C11" s="11" t="n">
        <v>0.197</v>
      </c>
      <c r="D11" s="11" t="n">
        <v>0.005</v>
      </c>
      <c r="E11" s="11" t="n">
        <v>0.197</v>
      </c>
      <c r="F11" s="11" t="n">
        <v>0.01</v>
      </c>
      <c r="G11" s="11" t="n">
        <v>0.324</v>
      </c>
      <c r="H11" s="11" t="n">
        <v>0.211</v>
      </c>
      <c r="I11" s="11" t="n">
        <v>0.244</v>
      </c>
      <c r="J11" s="11" t="n">
        <v>0.074</v>
      </c>
    </row>
    <row r="12" customFormat="false" ht="15" hidden="false" customHeight="false" outlineLevel="0" collapsed="false">
      <c r="A12" s="6" t="s">
        <v>59</v>
      </c>
      <c r="B12" s="15" t="s">
        <v>52</v>
      </c>
      <c r="C12" s="11" t="n">
        <v>0.208</v>
      </c>
      <c r="D12" s="11" t="n">
        <v>0.004</v>
      </c>
      <c r="E12" s="11" t="n">
        <v>0.203</v>
      </c>
      <c r="F12" s="11" t="n">
        <v>0.008</v>
      </c>
      <c r="G12" s="11" t="n">
        <v>0.205</v>
      </c>
      <c r="H12" s="11" t="n">
        <v>0.002</v>
      </c>
      <c r="I12" s="11" t="n">
        <v>0.201</v>
      </c>
      <c r="J12" s="11" t="n">
        <v>0.012</v>
      </c>
    </row>
    <row r="13" customFormat="false" ht="15" hidden="false" customHeight="false" outlineLevel="0" collapsed="false">
      <c r="A13" s="6" t="s">
        <v>61</v>
      </c>
      <c r="B13" s="14" t="s">
        <v>50</v>
      </c>
      <c r="C13" s="11" t="n">
        <v>0.383</v>
      </c>
      <c r="D13" s="11" t="n">
        <v>0.017</v>
      </c>
      <c r="E13" s="11" t="n">
        <v>0.264</v>
      </c>
      <c r="F13" s="11" t="n">
        <v>0.295</v>
      </c>
      <c r="G13" s="11" t="n">
        <v>0.406</v>
      </c>
      <c r="H13" s="11" t="n">
        <v>0.033</v>
      </c>
      <c r="I13" s="11" t="n">
        <v>0.417</v>
      </c>
      <c r="J13" s="11" t="n">
        <v>0.026</v>
      </c>
    </row>
    <row r="14" customFormat="false" ht="15" hidden="false" customHeight="false" outlineLevel="0" collapsed="false">
      <c r="A14" s="6" t="s">
        <v>61</v>
      </c>
      <c r="B14" s="15" t="s">
        <v>52</v>
      </c>
      <c r="C14" s="11" t="n">
        <v>0.084</v>
      </c>
      <c r="D14" s="11" t="n">
        <v>0.003</v>
      </c>
      <c r="E14" s="11" t="n">
        <v>0.123</v>
      </c>
      <c r="F14" s="11" t="n">
        <v>0.083</v>
      </c>
      <c r="G14" s="11" t="n">
        <v>0.086</v>
      </c>
      <c r="H14" s="11" t="n">
        <v>0.004</v>
      </c>
      <c r="I14" s="11" t="n">
        <v>0.086</v>
      </c>
      <c r="J14" s="11" t="n">
        <v>0.004</v>
      </c>
    </row>
    <row r="16" customFormat="false" ht="23.85" hidden="false" customHeight="false" outlineLevel="0" collapsed="false">
      <c r="A16" s="5" t="s">
        <v>19</v>
      </c>
      <c r="B16" s="5" t="s">
        <v>20</v>
      </c>
      <c r="C16" s="5" t="s">
        <v>21</v>
      </c>
      <c r="D16" s="5" t="s">
        <v>23</v>
      </c>
    </row>
    <row r="17" customFormat="false" ht="15" hidden="false" customHeight="false" outlineLevel="0" collapsed="false">
      <c r="A17" s="6" t="s">
        <v>32</v>
      </c>
      <c r="B17" s="7" t="n">
        <v>22.82</v>
      </c>
      <c r="C17" s="8" t="n">
        <v>0.001</v>
      </c>
      <c r="D17" s="10" t="n">
        <v>29</v>
      </c>
    </row>
    <row r="18" customFormat="false" ht="15" hidden="false" customHeight="false" outlineLevel="0" collapsed="false">
      <c r="A18" s="6" t="s">
        <v>122</v>
      </c>
      <c r="B18" s="7" t="n">
        <v>22.9</v>
      </c>
      <c r="C18" s="8" t="n">
        <v>0.003</v>
      </c>
      <c r="D18" s="10" t="n">
        <v>33.1</v>
      </c>
    </row>
    <row r="19" customFormat="false" ht="15" hidden="false" customHeight="false" outlineLevel="0" collapsed="false">
      <c r="A19" s="6" t="s">
        <v>123</v>
      </c>
      <c r="B19" s="7" t="n">
        <v>22.85</v>
      </c>
      <c r="C19" s="8" t="n">
        <v>0.001</v>
      </c>
      <c r="D19" s="10" t="n">
        <v>18.8</v>
      </c>
    </row>
    <row r="20" customFormat="false" ht="15" hidden="false" customHeight="false" outlineLevel="0" collapsed="false">
      <c r="A20" s="6" t="s">
        <v>33</v>
      </c>
      <c r="B20" s="7" t="n">
        <v>22.87</v>
      </c>
      <c r="C20" s="8" t="n">
        <v>0.001</v>
      </c>
      <c r="D20" s="10" t="n">
        <v>14.8</v>
      </c>
    </row>
    <row r="23" customFormat="false" ht="15" hidden="false" customHeight="false" outlineLevel="0" collapsed="false">
      <c r="A23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2026-10-21T03:33:36Z</dcterms:created>
  <dc:creator>openpyxl</dc:creator>
  <dc:description/>
  <dc:language>en-US</dc:language>
  <cp:lastModifiedBy/>
  <dcterms:modified xsi:type="dcterms:W3CDTF">2026-10-21T03:33:36Z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